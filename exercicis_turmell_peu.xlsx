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eac1b1f92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mell i peu" sheetId="1" r:id="Rbc390ea2b66049b9"/>
    <x:sheet xmlns:r="http://schemas.openxmlformats.org/officeDocument/2006/relationships" name="Resum" sheetId="2" r:id="R1b52c1f84208407d"/>
    <x:sheet xmlns:r="http://schemas.openxmlformats.org/officeDocument/2006/relationships" name="Catàlegs" sheetId="3" r:id="Ra798feea9cba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14532D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3ae31cd02451f" /><Relationship Type="http://schemas.openxmlformats.org/officeDocument/2006/relationships/theme" Target="/xl/theme/theme1.xml" Id="R45b2c175d8ac4001" /><Relationship Type="http://schemas.openxmlformats.org/officeDocument/2006/relationships/sharedStrings" Target="/xl/sharedStrings.xml" Id="Re328221978b645ce" /><Relationship Type="http://schemas.openxmlformats.org/officeDocument/2006/relationships/worksheet" Target="/xl/worksheets/sheet1.xml" Id="Rbc390ea2b66049b9" /><Relationship Type="http://schemas.openxmlformats.org/officeDocument/2006/relationships/worksheet" Target="/xl/worksheets/sheet2.xml" Id="R1b52c1f84208407d" /><Relationship Type="http://schemas.openxmlformats.org/officeDocument/2006/relationships/worksheet" Target="/xl/worksheets/sheet3.xml" Id="Ra798feea9cba4959" /></Relationships>
</file>

<file path=xl/tables/table1.xml><?xml version="1.0" encoding="utf-8"?>
<x:table xmlns:x="http://schemas.openxmlformats.org/spreadsheetml/2006/main" id="1" name="ExercicisTurmellPeu" displayName="ExercicisTurmellPeu" ref="A1:V41" headerRowCount="1" totalsRowCount="0" totalsRowShown="0">
  <x:tableColumns count="22">
    <x:tableColumn id="1" name="ID exercici"/>
    <x:tableColumn id="2" name="Exercici"/>
    <x:tableColumn id="3" name="Nom tècnic"/>
    <x:tableColumn id="4" name="Patró de moviment"/>
    <x:tableColumn id="5" name="Subpatró"/>
    <x:tableColumn id="6" name="Equipament principal"/>
    <x:tableColumn id="7" name="Equipament secundari"/>
    <x:tableColumn id="8" name="Equipament alternatiu"/>
    <x:tableColumn id="9" name="Músculs principals"/>
    <x:tableColumn id="10" name="Músculs secundaris"/>
    <x:tableColumn id="11" name="Nivell mínim recomanat"/>
    <x:tableColumn id="12" name="Nivell tècnic 1-5"/>
    <x:tableColumn id="13" name="Objectiu principal"/>
    <x:tableColumn id="14" name="Exercici regressió"/>
    <x:tableColumn id="15" name="Exercici progressió"/>
    <x:tableColumn id="16" name="Contraindicacions / precaucions"/>
    <x:tableColumn id="17" name="Observacions tècniques"/>
    <x:tableColumn id="18" name="Errors comuns"/>
    <x:tableColumn id="19" name="Actiu"/>
    <x:tableColumn id="20" name="Ús extern"/>
    <x:tableColumn id="21" name="Vídeo"/>
    <x:tableColumn id="22" name="Imat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1bc928f8ea437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0" hidden="0" customWidth="1"/>
    <x:col min="4" max="4" width="2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  <x:col min="10" max="10" width="26" hidden="0" customWidth="1"/>
    <x:col min="11" max="11" width="18" hidden="0" customWidth="1"/>
    <x:col min="12" max="12" width="16" hidden="0" customWidth="1"/>
    <x:col min="13" max="13" width="28" hidden="0" customWidth="1"/>
    <x:col min="14" max="14" width="30" hidden="0" customWidth="1"/>
    <x:col min="15" max="15" width="30" hidden="0" customWidth="1"/>
    <x:col min="16" max="16" width="38" hidden="0" customWidth="1"/>
    <x:col min="17" max="17" width="44" hidden="0" customWidth="1"/>
    <x:col min="18" max="18" width="36" hidden="0" customWidth="1"/>
    <x:col min="19" max="19" width="10" hidden="0" customWidth="1"/>
    <x:col min="20" max="20" width="12" hidden="0" customWidth="1"/>
    <x:col min="21" max="21" width="18" hidden="0" customWidth="1"/>
    <x:col min="22" max="22" width="18" hidden="0" customWidth="1"/>
  </x:cols>
  <x:sheetData>
    <x:row r="1">
      <x:c r="A1" s="6" t="str">
        <x:v>ID exercici</x:v>
      </x:c>
      <x:c r="B1" s="6" t="str">
        <x:v>Exercici</x:v>
      </x:c>
      <x:c r="C1" s="6" t="str">
        <x:v>Nom tècnic</x:v>
      </x:c>
      <x:c r="D1" s="6" t="str">
        <x:v>Patró de moviment</x:v>
      </x:c>
      <x:c r="E1" s="6" t="str">
        <x:v>Subpatró</x:v>
      </x:c>
      <x:c r="F1" s="6" t="str">
        <x:v>Equipament principal</x:v>
      </x:c>
      <x:c r="G1" s="6" t="str">
        <x:v>Equipament secundari</x:v>
      </x:c>
      <x:c r="H1" s="6" t="str">
        <x:v>Equipament alternatiu</x:v>
      </x:c>
      <x:c r="I1" s="6" t="str">
        <x:v>Músculs principals</x:v>
      </x:c>
      <x:c r="J1" s="6" t="str">
        <x:v>Músculs secundaris</x:v>
      </x:c>
      <x:c r="K1" s="6" t="str">
        <x:v>Nivell mínim recomanat</x:v>
      </x:c>
      <x:c r="L1" s="6" t="str">
        <x:v>Nivell tècnic 1-5</x:v>
      </x:c>
      <x:c r="M1" s="6" t="str">
        <x:v>Objectiu principal</x:v>
      </x:c>
      <x:c r="N1" s="6" t="str">
        <x:v>Exercici regressió</x:v>
      </x:c>
      <x:c r="O1" s="6" t="str">
        <x:v>Exercici progressió</x:v>
      </x:c>
      <x:c r="P1" s="6" t="str">
        <x:v>Contraindicacions / precaucions</x:v>
      </x:c>
      <x:c r="Q1" s="6" t="str">
        <x:v>Observacions tècniques</x:v>
      </x:c>
      <x:c r="R1" s="6" t="str">
        <x:v>Errors comuns</x:v>
      </x:c>
      <x:c r="S1" s="6" t="str">
        <x:v>Actiu</x:v>
      </x:c>
      <x:c r="T1" s="6" t="str">
        <x:v>Ús extern</x:v>
      </x:c>
      <x:c r="U1" s="6" t="str">
        <x:v>Vídeo</x:v>
      </x:c>
      <x:c r="V1" s="6" t="str">
        <x:v>Imatge</x:v>
      </x:c>
    </x:row>
    <x:row r="2">
      <x:c r="A2" s="14" t="str">
        <x:v>ANK_DF_001</x:v>
      </x:c>
      <x:c r="B2" s="14" t="str">
        <x:v>Flexió dorsal de turmell a paret</x:v>
      </x:c>
      <x:c r="C2" s="14" t="str">
        <x:v>Knee to Wall Ankle Dorsiflexion</x:v>
      </x:c>
      <x:c r="D2" s="14" t="str">
        <x:v>Flexió dorsal de turmell</x:v>
      </x:c>
      <x:c r="E2" s="14" t="str">
        <x:v>Mobilitat en càrrega</x:v>
      </x:c>
      <x:c r="F2" s="14" t="str">
        <x:v>Paret</x:v>
      </x:c>
      <x:c r="G2" s="14" t="str">
        <x:v>Pes corporal</x:v>
      </x:c>
      <x:c r="H2" s="14" t="str">
        <x:v>Màrfega</x:v>
      </x:c>
      <x:c r="I2" s="14" t="str">
        <x:v>Tibial anterior; musculatura anterior de la cama</x:v>
      </x:c>
      <x:c r="J2" s="14" t="str">
        <x:v>Soli; bessons</x:v>
      </x:c>
      <x:c r="K2" s="14" t="str">
        <x:v>Groc</x:v>
      </x:c>
      <x:c r="L2" s="14" t="n">
        <x:v>1</x:v>
      </x:c>
      <x:c r="M2" s="14" t="str">
        <x:v>Mobilitat / Control motor</x:v>
      </x:c>
      <x:c r="N2" s="14" t="str">
        <x:v>Mobilitat passiva de turmell</x:v>
      </x:c>
      <x:c r="O2" s="14" t="str">
        <x:v>Flexió dorsal amb càrrega</x:v>
      </x:c>
      <x:c r="P2" s="14" t="str">
        <x:v>Dolor anterior de turmell o pinçament</x:v>
      </x:c>
      <x:c r="Q2" s="14" t="str">
        <x:v>Portar el genoll cap a la paret sense aixecar el taló ni col·lapsar l’arc del peu.</x:v>
      </x:c>
      <x:c r="R2" s="14" t="str">
        <x:v>Aixecar el taló; deixar caure el genoll cap a dins</x:v>
      </x:c>
      <x:c r="S2" s="14" t="str">
        <x:v>Sí</x:v>
      </x:c>
      <x:c r="T2" s="14" t="str">
        <x:v>No</x:v>
      </x:c>
      <x:c r="U2" s="14" t="str"/>
      <x:c r="V2" s="14" t="str"/>
    </x:row>
    <x:row r="3">
      <x:c r="A3" s="14" t="str">
        <x:v>ANK_DF_002</x:v>
      </x:c>
      <x:c r="B3" s="14" t="str">
        <x:v>Elevació de punta del peu a paret</x:v>
      </x:c>
      <x:c r="C3" s="14" t="str">
        <x:v>Wall Tibialis Raise</x:v>
      </x:c>
      <x:c r="D3" s="14" t="str">
        <x:v>Flexió dorsal de turmell</x:v>
      </x:c>
      <x:c r="E3" s="14" t="str">
        <x:v>Força tibial anterior</x:v>
      </x:c>
      <x:c r="F3" s="14" t="str">
        <x:v>Paret</x:v>
      </x:c>
      <x:c r="G3" s="14" t="str">
        <x:v>Pes corporal</x:v>
      </x:c>
      <x:c r="H3" s="14" t="str"/>
      <x:c r="I3" s="14" t="str">
        <x:v>Tibial anterior</x:v>
      </x:c>
      <x:c r="J3" s="14" t="str">
        <x:v>Extensors dels dits</x:v>
      </x:c>
      <x:c r="K3" s="14" t="str">
        <x:v>Groc</x:v>
      </x:c>
      <x:c r="L3" s="14" t="n">
        <x:v>2</x:v>
      </x:c>
      <x:c r="M3" s="14" t="str">
        <x:v>Força / Readaptació</x:v>
      </x:c>
      <x:c r="N3" s="14" t="str">
        <x:v>Flexió dorsal asseguda sense càrrega</x:v>
      </x:c>
      <x:c r="O3" s="14" t="str">
        <x:v>Elevació de punta del peu lliure</x:v>
      </x:c>
      <x:c r="P3" s="14" t="str">
        <x:v>Dolor tibial anterior intens</x:v>
      </x:c>
      <x:c r="Q3" s="14" t="str">
        <x:v>Recolzar l’esquena a la paret i elevar les puntes dels peus controlant la baixada.</x:v>
      </x:c>
      <x:c r="R3" s="14" t="str">
        <x:v>Fer impuls; perdre control excèntric</x:v>
      </x:c>
      <x:c r="S3" s="14" t="str">
        <x:v>Sí</x:v>
      </x:c>
      <x:c r="T3" s="14" t="str">
        <x:v>No</x:v>
      </x:c>
      <x:c r="U3" s="14" t="str"/>
      <x:c r="V3" s="14" t="str"/>
    </x:row>
    <x:row r="4">
      <x:c r="A4" s="14" t="str">
        <x:v>ANK_DF_003</x:v>
      </x:c>
      <x:c r="B4" s="14" t="str">
        <x:v>Flexió dorsal amb banda</x:v>
      </x:c>
      <x:c r="C4" s="14" t="str">
        <x:v>Banded Ankle Dorsiflexion</x:v>
      </x:c>
      <x:c r="D4" s="14" t="str">
        <x:v>Flexió dorsal de turmell</x:v>
      </x:c>
      <x:c r="E4" s="14" t="str">
        <x:v>Banda</x:v>
      </x:c>
      <x:c r="F4" s="14" t="str">
        <x:v>Banda elàstica</x:v>
      </x:c>
      <x:c r="G4" s="14" t="str">
        <x:v>Màrfega</x:v>
      </x:c>
      <x:c r="H4" s="14" t="str"/>
      <x:c r="I4" s="14" t="str">
        <x:v>Tibial anterior</x:v>
      </x:c>
      <x:c r="J4" s="14" t="str">
        <x:v>Extensors dels dits</x:v>
      </x:c>
      <x:c r="K4" s="14" t="str">
        <x:v>Groc</x:v>
      </x:c>
      <x:c r="L4" s="14" t="n">
        <x:v>1</x:v>
      </x:c>
      <x:c r="M4" s="14" t="str">
        <x:v>Activació / Readaptació</x:v>
      </x:c>
      <x:c r="N4" s="14" t="str">
        <x:v>Flexió dorsal activa sense banda</x:v>
      </x:c>
      <x:c r="O4" s="14" t="str">
        <x:v>Elevació de punta del peu a paret</x:v>
      </x:c>
      <x:c r="P4" s="14" t="str">
        <x:v>Irritació anterior de turmell</x:v>
      </x:c>
      <x:c r="Q4" s="14" t="str">
        <x:v>Estirar la punta del peu cap amunt contra la banda i tornar lentament.</x:v>
      </x:c>
      <x:c r="R4" s="14" t="str">
        <x:v>Moure tot el genoll; fer el moviment massa ràpid</x:v>
      </x:c>
      <x:c r="S4" s="14" t="str">
        <x:v>Sí</x:v>
      </x:c>
      <x:c r="T4" s="14" t="str">
        <x:v>No</x:v>
      </x:c>
      <x:c r="U4" s="14" t="str"/>
      <x:c r="V4" s="14" t="str"/>
    </x:row>
    <x:row r="5">
      <x:c r="A5" s="14" t="str">
        <x:v>ANK_DF_004</x:v>
      </x:c>
      <x:c r="B5" s="14" t="str">
        <x:v>Caminada de talons</x:v>
      </x:c>
      <x:c r="C5" s="14" t="str">
        <x:v>Heel Walk</x:v>
      </x:c>
      <x:c r="D5" s="14" t="str">
        <x:v>Flexió dorsal de turmell</x:v>
      </x:c>
      <x:c r="E5" s="14" t="str">
        <x:v>Locomoció / Control</x:v>
      </x:c>
      <x:c r="F5" s="14" t="str">
        <x:v>Pes corporal</x:v>
      </x:c>
      <x:c r="G5" s="14" t="str"/>
      <x:c r="H5" s="14" t="str"/>
      <x:c r="I5" s="14" t="str">
        <x:v>Tibial anterior</x:v>
      </x:c>
      <x:c r="J5" s="14" t="str">
        <x:v>Extensors dels dits; estabilitzadors del peu</x:v>
      </x:c>
      <x:c r="K5" s="14" t="str">
        <x:v>Blau</x:v>
      </x:c>
      <x:c r="L5" s="14" t="n">
        <x:v>2</x:v>
      </x:c>
      <x:c r="M5" s="14" t="str">
        <x:v>Força resistència / Control</x:v>
      </x:c>
      <x:c r="N5" s="14" t="str">
        <x:v>Elevació de punta del peu a paret</x:v>
      </x:c>
      <x:c r="O5" s="14" t="str">
        <x:v>Caminada de talons amb càrrega lleugera</x:v>
      </x:c>
      <x:c r="P5" s="14" t="str">
        <x:v>Dolor tibial anterior o fatiga excessiva</x:v>
      </x:c>
      <x:c r="Q5" s="14" t="str">
        <x:v>Caminar mantenint les puntes elevades i passos curts i controlats.</x:v>
      </x:c>
      <x:c r="R5" s="14" t="str">
        <x:v>Inclinar massa el tronc; perdre alçada de la punta</x:v>
      </x:c>
      <x:c r="S5" s="14" t="str">
        <x:v>Sí</x:v>
      </x:c>
      <x:c r="T5" s="14" t="str">
        <x:v>No</x:v>
      </x:c>
      <x:c r="U5" s="14" t="str"/>
      <x:c r="V5" s="14" t="str"/>
    </x:row>
    <x:row r="6">
      <x:c r="A6" s="14" t="str">
        <x:v>ANK_DF_005</x:v>
      </x:c>
      <x:c r="B6" s="14" t="str">
        <x:v>Flexió dorsal carregada amb kettlebell</x:v>
      </x:c>
      <x:c r="C6" s="14" t="str">
        <x:v>Weighted Ankle Dorsiflexion Mobilization</x:v>
      </x:c>
      <x:c r="D6" s="14" t="str">
        <x:v>Flexió dorsal de turmell</x:v>
      </x:c>
      <x:c r="E6" s="14" t="str">
        <x:v>Mobilitat amb càrrega</x:v>
      </x:c>
      <x:c r="F6" s="14" t="str">
        <x:v>Kettlebells</x:v>
      </x:c>
      <x:c r="G6" s="14" t="str">
        <x:v>Màrfega</x:v>
      </x:c>
      <x:c r="H6" s="14" t="str">
        <x:v>Paret</x:v>
      </x:c>
      <x:c r="I6" s="14" t="str">
        <x:v>Soli; bessons</x:v>
      </x:c>
      <x:c r="J6" s="14" t="str">
        <x:v>Tibial anterior; musculatura del peu</x:v>
      </x:c>
      <x:c r="K6" s="14" t="str">
        <x:v>Blau</x:v>
      </x:c>
      <x:c r="L6" s="14" t="n">
        <x:v>3</x:v>
      </x:c>
      <x:c r="M6" s="14" t="str">
        <x:v>Mobilitat / Tolerància de rang</x:v>
      </x:c>
      <x:c r="N6" s="14" t="str">
        <x:v>Flexió dorsal de turmell a paret</x:v>
      </x:c>
      <x:c r="O6" s="14" t="str">
        <x:v>Flexió dorsal en split squat</x:v>
      </x:c>
      <x:c r="P6" s="14" t="str">
        <x:v>Pinçament anterior de turmell</x:v>
      </x:c>
      <x:c r="Q6" s="14" t="str">
        <x:v>Col·locar la càrrega sobre el genoll i avançar controladament sense aixecar el taló.</x:v>
      </x:c>
      <x:c r="R6" s="14" t="str">
        <x:v>Forçar rang amb dolor; col·lapsar el peu</x:v>
      </x:c>
      <x:c r="S6" s="14" t="str">
        <x:v>Sí</x:v>
      </x:c>
      <x:c r="T6" s="14" t="str">
        <x:v>No</x:v>
      </x:c>
      <x:c r="U6" s="14" t="str"/>
      <x:c r="V6" s="14" t="str"/>
    </x:row>
    <x:row r="7">
      <x:c r="A7" s="14" t="str">
        <x:v>ANK_PF_001</x:v>
      </x:c>
      <x:c r="B7" s="14" t="str">
        <x:v>Elevació de talons bilateral</x:v>
      </x:c>
      <x:c r="C7" s="14" t="str">
        <x:v>Double Leg Calf Raise</x:v>
      </x:c>
      <x:c r="D7" s="14" t="str">
        <x:v>Flexió plantar de turmell</x:v>
      </x:c>
      <x:c r="E7" s="14" t="str">
        <x:v>Bilateral</x:v>
      </x:c>
      <x:c r="F7" s="14" t="str">
        <x:v>Pes corporal</x:v>
      </x:c>
      <x:c r="G7" s="14" t="str">
        <x:v>Paret</x:v>
      </x:c>
      <x:c r="H7" s="14" t="str">
        <x:v>Rack de peses i dominades</x:v>
      </x:c>
      <x:c r="I7" s="14" t="str">
        <x:v>Bessons; soli</x:v>
      </x:c>
      <x:c r="J7" s="14" t="str">
        <x:v>Intrínsecs del peu</x:v>
      </x:c>
      <x:c r="K7" s="14" t="str">
        <x:v>Groc</x:v>
      </x:c>
      <x:c r="L7" s="14" t="n">
        <x:v>1</x:v>
      </x:c>
      <x:c r="M7" s="14" t="str">
        <x:v>Força / Familiarització</x:v>
      </x:c>
      <x:c r="N7" s="14" t="str">
        <x:v>Flexió plantar amb banda</x:v>
      </x:c>
      <x:c r="O7" s="14" t="str">
        <x:v>Elevació de talons unilateral</x:v>
      </x:c>
      <x:c r="P7" s="14" t="str">
        <x:v>Dolor agut al tendó d’Aquil·les</x:v>
      </x:c>
      <x:c r="Q7" s="14" t="str">
        <x:v>Pujar de manera controlada fins a la punta dels peus i baixar lentament.</x:v>
      </x:c>
      <x:c r="R7" s="14" t="str">
        <x:v>Rebotar; deixar caure els turmells cap a fora</x:v>
      </x:c>
      <x:c r="S7" s="14" t="str">
        <x:v>Sí</x:v>
      </x:c>
      <x:c r="T7" s="14" t="str">
        <x:v>No</x:v>
      </x:c>
      <x:c r="U7" s="14" t="str"/>
      <x:c r="V7" s="14" t="str"/>
    </x:row>
    <x:row r="8">
      <x:c r="A8" s="14" t="str">
        <x:v>ANK_PF_002</x:v>
      </x:c>
      <x:c r="B8" s="14" t="str">
        <x:v>Elevació de talons amb genoll flexionat</x:v>
      </x:c>
      <x:c r="C8" s="14" t="str">
        <x:v>Bent Knee Calf Raise</x:v>
      </x:c>
      <x:c r="D8" s="14" t="str">
        <x:v>Flexió plantar de turmell</x:v>
      </x:c>
      <x:c r="E8" s="14" t="str">
        <x:v>Soli / Genoll flexionat</x:v>
      </x:c>
      <x:c r="F8" s="14" t="str">
        <x:v>Pes corporal</x:v>
      </x:c>
      <x:c r="G8" s="14" t="str">
        <x:v>Paret</x:v>
      </x:c>
      <x:c r="H8" s="14" t="str">
        <x:v>Manuelles</x:v>
      </x:c>
      <x:c r="I8" s="14" t="str">
        <x:v>Soli</x:v>
      </x:c>
      <x:c r="J8" s="14" t="str">
        <x:v>Bessons</x:v>
      </x:c>
      <x:c r="K8" s="14" t="str">
        <x:v>Groc</x:v>
      </x:c>
      <x:c r="L8" s="14" t="n">
        <x:v>2</x:v>
      </x:c>
      <x:c r="M8" s="14" t="str">
        <x:v>Força / Readaptació</x:v>
      </x:c>
      <x:c r="N8" s="14" t="str">
        <x:v>Elevació de talons bilateral</x:v>
      </x:c>
      <x:c r="O8" s="14" t="str">
        <x:v>Elevació de talons asseguda amb càrrega</x:v>
      </x:c>
      <x:c r="P8" s="14" t="str">
        <x:v>Dolor aquil·li o molèstia al soli</x:v>
      </x:c>
      <x:c r="Q8" s="14" t="str">
        <x:v>Fer l’elevació amb genolls lleugerament flexionats per augmentar la demanda del soli.</x:v>
      </x:c>
      <x:c r="R8" s="14" t="str">
        <x:v>Estirar el genoll; perdre rang final</x:v>
      </x:c>
      <x:c r="S8" s="14" t="str">
        <x:v>Sí</x:v>
      </x:c>
      <x:c r="T8" s="14" t="str">
        <x:v>No</x:v>
      </x:c>
      <x:c r="U8" s="14" t="str"/>
      <x:c r="V8" s="14" t="str"/>
    </x:row>
    <x:row r="9">
      <x:c r="A9" s="14" t="str">
        <x:v>ANK_PF_003</x:v>
      </x:c>
      <x:c r="B9" s="14" t="str">
        <x:v>Elevació de talons unilateral</x:v>
      </x:c>
      <x:c r="C9" s="14" t="str">
        <x:v>Single Leg Calf Raise</x:v>
      </x:c>
      <x:c r="D9" s="14" t="str">
        <x:v>Flexió plantar de turmell</x:v>
      </x:c>
      <x:c r="E9" s="14" t="str">
        <x:v>Unilateral</x:v>
      </x:c>
      <x:c r="F9" s="14" t="str">
        <x:v>Pes corporal</x:v>
      </x:c>
      <x:c r="G9" s="14" t="str">
        <x:v>Paret</x:v>
      </x:c>
      <x:c r="H9" s="14" t="str">
        <x:v>Manuelles</x:v>
      </x:c>
      <x:c r="I9" s="14" t="str">
        <x:v>Bessons; soli</x:v>
      </x:c>
      <x:c r="J9" s="14" t="str">
        <x:v>Estabilitzadors del peu</x:v>
      </x:c>
      <x:c r="K9" s="14" t="str">
        <x:v>Blau</x:v>
      </x:c>
      <x:c r="L9" s="14" t="n">
        <x:v>3</x:v>
      </x:c>
      <x:c r="M9" s="14" t="str">
        <x:v>Força unilateral</x:v>
      </x:c>
      <x:c r="N9" s="14" t="str">
        <x:v>Elevació de talons bilateral</x:v>
      </x:c>
      <x:c r="O9" s="14" t="str">
        <x:v>Elevació de talons unilateral amb càrrega</x:v>
      </x:c>
      <x:c r="P9" s="14" t="str">
        <x:v>Dolor aquil·li o baixa tolerància unilateral</x:v>
      </x:c>
      <x:c r="Q9" s="14" t="str">
        <x:v>Pujar i baixar amb una cama mantenint el peu alineat i controlant la pelvis.</x:v>
      </x:c>
      <x:c r="R9" s="14" t="str">
        <x:v>Inclinar el cos; perdre control del peu</x:v>
      </x:c>
      <x:c r="S9" s="14" t="str">
        <x:v>Sí</x:v>
      </x:c>
      <x:c r="T9" s="14" t="str">
        <x:v>No</x:v>
      </x:c>
      <x:c r="U9" s="14" t="str"/>
      <x:c r="V9" s="14" t="str"/>
    </x:row>
    <x:row r="10">
      <x:c r="A10" s="14" t="str">
        <x:v>ANK_PF_004</x:v>
      </x:c>
      <x:c r="B10" s="14" t="str">
        <x:v>Elevació de talons excèntrica en graó</x:v>
      </x:c>
      <x:c r="C10" s="14" t="str">
        <x:v>Eccentric Heel Drop</x:v>
      </x:c>
      <x:c r="D10" s="14" t="str">
        <x:v>Flexió plantar de turmell</x:v>
      </x:c>
      <x:c r="E10" s="14" t="str">
        <x:v>Excèntric</x:v>
      </x:c>
      <x:c r="F10" s="14" t="str">
        <x:v>Caixa / calaix</x:v>
      </x:c>
      <x:c r="G10" s="14" t="str">
        <x:v>Rack de peses i dominades</x:v>
      </x:c>
      <x:c r="H10" s="14" t="str">
        <x:v>Pes corporal</x:v>
      </x:c>
      <x:c r="I10" s="14" t="str">
        <x:v>Bessons; soli</x:v>
      </x:c>
      <x:c r="J10" s="14" t="str">
        <x:v>Tendó d’Aquil·les</x:v>
      </x:c>
      <x:c r="K10" s="14" t="str">
        <x:v>Blau</x:v>
      </x:c>
      <x:c r="L10" s="14" t="n">
        <x:v>3</x:v>
      </x:c>
      <x:c r="M10" s="14" t="str">
        <x:v>Força excèntrica / Readaptació</x:v>
      </x:c>
      <x:c r="N10" s="14" t="str">
        <x:v>Elevació de talons bilateral</x:v>
      </x:c>
      <x:c r="O10" s="14" t="str">
        <x:v>Elevació de talons excèntrica unilateral amb càrrega</x:v>
      </x:c>
      <x:c r="P10" s="14" t="str">
        <x:v>Dolor agut o fase inicial d’irritació aquil·lia</x:v>
      </x:c>
      <x:c r="Q10" s="14" t="str">
        <x:v>Pujar amb dues cames i baixar lentament amb control del rang.</x:v>
      </x:c>
      <x:c r="R10" s="14" t="str">
        <x:v>Baixar massa ràpid; buscar dolor alt</x:v>
      </x:c>
      <x:c r="S10" s="14" t="str">
        <x:v>Sí</x:v>
      </x:c>
      <x:c r="T10" s="14" t="str">
        <x:v>No</x:v>
      </x:c>
      <x:c r="U10" s="14" t="str"/>
      <x:c r="V10" s="14" t="str"/>
    </x:row>
    <x:row r="11">
      <x:c r="A11" s="14" t="str">
        <x:v>ANK_PF_005</x:v>
      </x:c>
      <x:c r="B11" s="14" t="str">
        <x:v>Flexió plantar amb banda</x:v>
      </x:c>
      <x:c r="C11" s="14" t="str">
        <x:v>Banded Ankle Plantarflexion</x:v>
      </x:c>
      <x:c r="D11" s="14" t="str">
        <x:v>Flexió plantar de turmell</x:v>
      </x:c>
      <x:c r="E11" s="14" t="str">
        <x:v>Banda</x:v>
      </x:c>
      <x:c r="F11" s="14" t="str">
        <x:v>Banda elàstica</x:v>
      </x:c>
      <x:c r="G11" s="14" t="str">
        <x:v>Màrfega</x:v>
      </x:c>
      <x:c r="H11" s="14" t="str"/>
      <x:c r="I11" s="14" t="str">
        <x:v>Bessons; soli</x:v>
      </x:c>
      <x:c r="J11" s="14" t="str">
        <x:v>Flexors dels dits</x:v>
      </x:c>
      <x:c r="K11" s="14" t="str">
        <x:v>Groc</x:v>
      </x:c>
      <x:c r="L11" s="14" t="n">
        <x:v>1</x:v>
      </x:c>
      <x:c r="M11" s="14" t="str">
        <x:v>Activació / Readaptació</x:v>
      </x:c>
      <x:c r="N11" s="14" t="str">
        <x:v>Flexió plantar activa sense banda</x:v>
      </x:c>
      <x:c r="O11" s="14" t="str">
        <x:v>Elevació de talons bilateral</x:v>
      </x:c>
      <x:c r="P11" s="14" t="str">
        <x:v>Dolor agut de turmell</x:v>
      </x:c>
      <x:c r="Q11" s="14" t="str">
        <x:v>Empènyer la banda com si premessis un pedal i tornar lentament.</x:v>
      </x:c>
      <x:c r="R11" s="14" t="str">
        <x:v>Moure el genoll; perdre tensió constant</x:v>
      </x:c>
      <x:c r="S11" s="14" t="str">
        <x:v>Sí</x:v>
      </x:c>
      <x:c r="T11" s="14" t="str">
        <x:v>No</x:v>
      </x:c>
      <x:c r="U11" s="14" t="str"/>
      <x:c r="V11" s="14" t="str"/>
    </x:row>
    <x:row r="12">
      <x:c r="A12" s="14" t="str">
        <x:v>ANK_INV_001</x:v>
      </x:c>
      <x:c r="B12" s="14" t="str">
        <x:v>Inversió de turmell amb banda</x:v>
      </x:c>
      <x:c r="C12" s="14" t="str">
        <x:v>Banded Ankle Inversion</x:v>
      </x:c>
      <x:c r="D12" s="14" t="str">
        <x:v>Inversió de turmell</x:v>
      </x:c>
      <x:c r="E12" s="14" t="str">
        <x:v>Banda</x:v>
      </x:c>
      <x:c r="F12" s="14" t="str">
        <x:v>Banda elàstica</x:v>
      </x:c>
      <x:c r="G12" s="14" t="str">
        <x:v>Màrfega</x:v>
      </x:c>
      <x:c r="H12" s="14" t="str"/>
      <x:c r="I12" s="14" t="str">
        <x:v>Tibial posterior</x:v>
      </x:c>
      <x:c r="J12" s="14" t="str">
        <x:v>Tibial anterior; intrínsecs del peu</x:v>
      </x:c>
      <x:c r="K12" s="14" t="str">
        <x:v>Groc</x:v>
      </x:c>
      <x:c r="L12" s="14" t="n">
        <x:v>1</x:v>
      </x:c>
      <x:c r="M12" s="14" t="str">
        <x:v>Força / Control medial</x:v>
      </x:c>
      <x:c r="N12" s="14" t="str">
        <x:v>Inversió activa sense banda</x:v>
      </x:c>
      <x:c r="O12" s="14" t="str">
        <x:v>Inversió en politja</x:v>
      </x:c>
      <x:c r="P12" s="14" t="str">
        <x:v>Dolor medial de turmell</x:v>
      </x:c>
      <x:c r="Q12" s="14" t="str">
        <x:v>Girar la planta del peu cap a dins contra la banda sense moure el genoll.</x:v>
      </x:c>
      <x:c r="R12" s="14" t="str">
        <x:v>Rotar tota la cama; fer compensació de maluc</x:v>
      </x:c>
      <x:c r="S12" s="14" t="str">
        <x:v>Sí</x:v>
      </x:c>
      <x:c r="T12" s="14" t="str">
        <x:v>No</x:v>
      </x:c>
      <x:c r="U12" s="14" t="str"/>
      <x:c r="V12" s="14" t="str"/>
    </x:row>
    <x:row r="13">
      <x:c r="A13" s="14" t="str">
        <x:v>ANK_INV_002</x:v>
      </x:c>
      <x:c r="B13" s="14" t="str">
        <x:v>Inversió isomètrica contra paret</x:v>
      </x:c>
      <x:c r="C13" s="14" t="str">
        <x:v>Isometric Ankle Inversion</x:v>
      </x:c>
      <x:c r="D13" s="14" t="str">
        <x:v>Inversió de turmell</x:v>
      </x:c>
      <x:c r="E13" s="14" t="str">
        <x:v>Isomètric</x:v>
      </x:c>
      <x:c r="F13" s="14" t="str">
        <x:v>Paret</x:v>
      </x:c>
      <x:c r="G13" s="14" t="str">
        <x:v>Pes corporal</x:v>
      </x:c>
      <x:c r="H13" s="14" t="str"/>
      <x:c r="I13" s="14" t="str">
        <x:v>Tibial posterior</x:v>
      </x:c>
      <x:c r="J13" s="14" t="str">
        <x:v>Intrínsecs del peu</x:v>
      </x:c>
      <x:c r="K13" s="14" t="str">
        <x:v>Groc</x:v>
      </x:c>
      <x:c r="L13" s="14" t="n">
        <x:v>1</x:v>
      </x:c>
      <x:c r="M13" s="14" t="str">
        <x:v>Readaptació / Analgèsia</x:v>
      </x:c>
      <x:c r="N13" s="14" t="str">
        <x:v>Activació suau d’inversió</x:v>
      </x:c>
      <x:c r="O13" s="14" t="str">
        <x:v>Inversió de turmell amb banda</x:v>
      </x:c>
      <x:c r="P13" s="14" t="str">
        <x:v>Dolor medial intens</x:v>
      </x:c>
      <x:c r="Q13" s="14" t="str">
        <x:v>Pressionar suaument la part interna del peu contra una superfície fixa sense moviment visible.</x:v>
      </x:c>
      <x:c r="R13" s="14" t="str">
        <x:v>Fer massa força; generar dolor</x:v>
      </x:c>
      <x:c r="S13" s="14" t="str">
        <x:v>Sí</x:v>
      </x:c>
      <x:c r="T13" s="14" t="str">
        <x:v>No</x:v>
      </x:c>
      <x:c r="U13" s="14" t="str"/>
      <x:c r="V13" s="14" t="str"/>
    </x:row>
    <x:row r="14">
      <x:c r="A14" s="14" t="str">
        <x:v>ANK_INV_003</x:v>
      </x:c>
      <x:c r="B14" s="14" t="str">
        <x:v>Inversió de turmell en politja</x:v>
      </x:c>
      <x:c r="C14" s="14" t="str">
        <x:v>Cable Ankle Inversion</x:v>
      </x:c>
      <x:c r="D14" s="14" t="str">
        <x:v>Inversió de turmell</x:v>
      </x:c>
      <x:c r="E14" s="14" t="str">
        <x:v>Politja</x:v>
      </x:c>
      <x:c r="F14" s="14" t="str">
        <x:v>Politja</x:v>
      </x:c>
      <x:c r="G14" s="14" t="str">
        <x:v>Turmellera</x:v>
      </x:c>
      <x:c r="H14" s="14" t="str">
        <x:v>Banda elàstica</x:v>
      </x:c>
      <x:c r="I14" s="14" t="str">
        <x:v>Tibial posterior</x:v>
      </x:c>
      <x:c r="J14" s="14" t="str">
        <x:v>Tibial anterior; soli</x:v>
      </x:c>
      <x:c r="K14" s="14" t="str">
        <x:v>Blau</x:v>
      </x:c>
      <x:c r="L14" s="14" t="n">
        <x:v>2</x:v>
      </x:c>
      <x:c r="M14" s="14" t="str">
        <x:v>Força / Control</x:v>
      </x:c>
      <x:c r="N14" s="14" t="str">
        <x:v>Inversió amb banda</x:v>
      </x:c>
      <x:c r="O14" s="14" t="str">
        <x:v>Inversió en politja amb més càrrega</x:v>
      </x:c>
      <x:c r="P14" s="14" t="str">
        <x:v>Dolor medial de turmell</x:v>
      </x:c>
      <x:c r="Q14" s="14" t="str">
        <x:v>Col·locar la turmellera i portar el peu cap a dins amb control complet.</x:v>
      </x:c>
      <x:c r="R14" s="14" t="str">
        <x:v>Arrossegar la cama; perdre control excèntric</x:v>
      </x:c>
      <x:c r="S14" s="14" t="str">
        <x:v>Sí</x:v>
      </x:c>
      <x:c r="T14" s="14" t="str">
        <x:v>No</x:v>
      </x:c>
      <x:c r="U14" s="14" t="str"/>
      <x:c r="V14" s="14" t="str"/>
    </x:row>
    <x:row r="15">
      <x:c r="A15" s="14" t="str">
        <x:v>ANK_INV_004</x:v>
      </x:c>
      <x:c r="B15" s="14" t="str">
        <x:v>Control d’inversió en suport monopodal</x:v>
      </x:c>
      <x:c r="C15" s="14" t="str">
        <x:v>Single Leg Inversion Control</x:v>
      </x:c>
      <x:c r="D15" s="14" t="str">
        <x:v>Inversió de turmell</x:v>
      </x:c>
      <x:c r="E15" s="14" t="str">
        <x:v>Monopodal / Control</x:v>
      </x:c>
      <x:c r="F15" s="14" t="str">
        <x:v>Pes corporal</x:v>
      </x:c>
      <x:c r="G15" s="14" t="str">
        <x:v>Màrfega</x:v>
      </x:c>
      <x:c r="H15" s="14" t="str"/>
      <x:c r="I15" s="14" t="str">
        <x:v>Tibial posterior; intrínsecs del peu</x:v>
      </x:c>
      <x:c r="J15" s="14" t="str">
        <x:v>Gluti mitjà; peroneals</x:v>
      </x:c>
      <x:c r="K15" s="14" t="str">
        <x:v>Blau</x:v>
      </x:c>
      <x:c r="L15" s="14" t="n">
        <x:v>3</x:v>
      </x:c>
      <x:c r="M15" s="14" t="str">
        <x:v>Estabilitat / Control motor</x:v>
      </x:c>
      <x:c r="N15" s="14" t="str">
        <x:v>Equilibri monopodal estable</x:v>
      </x:c>
      <x:c r="O15" s="14" t="str">
        <x:v>Control d’inversió amb abast</x:v>
      </x:c>
      <x:c r="P15" s="14" t="str">
        <x:v>Esguinç recent o inestabilitat marcada</x:v>
      </x:c>
      <x:c r="Q15" s="14" t="str">
        <x:v>Mantenir el suport a una cama i controlar que l’arc no caigui ni s’exageri la inversió.</x:v>
      </x:c>
      <x:c r="R15" s="14" t="str">
        <x:v>Bloquejar els dits; perdre alineació del genoll</x:v>
      </x:c>
      <x:c r="S15" s="14" t="str">
        <x:v>Sí</x:v>
      </x:c>
      <x:c r="T15" s="14" t="str">
        <x:v>No</x:v>
      </x:c>
      <x:c r="U15" s="14" t="str"/>
      <x:c r="V15" s="14" t="str"/>
    </x:row>
    <x:row r="16">
      <x:c r="A16" s="14" t="str">
        <x:v>ANK_INV_005</x:v>
      </x:c>
      <x:c r="B16" s="14" t="str">
        <x:v>Desplaçament lateral amb control d’inversió</x:v>
      </x:c>
      <x:c r="C16" s="14" t="str">
        <x:v>Lateral Step with Inversion Control</x:v>
      </x:c>
      <x:c r="D16" s="14" t="str">
        <x:v>Inversió de turmell</x:v>
      </x:c>
      <x:c r="E16" s="14" t="str">
        <x:v>Dinàmic</x:v>
      </x:c>
      <x:c r="F16" s="14" t="str">
        <x:v>Pes corporal</x:v>
      </x:c>
      <x:c r="G16" s="14" t="str">
        <x:v>Mini-band</x:v>
      </x:c>
      <x:c r="H16" s="14" t="str">
        <x:v>Caixa / calaix</x:v>
      </x:c>
      <x:c r="I16" s="14" t="str">
        <x:v>Tibial posterior; intrínsecs del peu</x:v>
      </x:c>
      <x:c r="J16" s="14" t="str">
        <x:v>Gluti mitjà; quàdriceps</x:v>
      </x:c>
      <x:c r="K16" s="14" t="str">
        <x:v>Vermell</x:v>
      </x:c>
      <x:c r="L16" s="14" t="n">
        <x:v>4</x:v>
      </x:c>
      <x:c r="M16" s="14" t="str">
        <x:v>Control dinàmic / Readaptació esportiva</x:v>
      </x:c>
      <x:c r="N16" s="14" t="str">
        <x:v>Control d’inversió en suport monopodal</x:v>
      </x:c>
      <x:c r="O16" s="14" t="str">
        <x:v>Canvi de direcció amb control medial</x:v>
      </x:c>
      <x:c r="P16" s="14" t="str">
        <x:v>Dolor o inseguretat lateral/medial de turmell</x:v>
      </x:c>
      <x:c r="Q16" s="14" t="str">
        <x:v>Fer un pas lateral i controlar l’entrada del peu sense col·lapsar l’arc.</x:v>
      </x:c>
      <x:c r="R16" s="14" t="str">
        <x:v>Entrar amb genoll en valgo; perdre control del peu</x:v>
      </x:c>
      <x:c r="S16" s="14" t="str">
        <x:v>Sí</x:v>
      </x:c>
      <x:c r="T16" s="14" t="str">
        <x:v>No</x:v>
      </x:c>
      <x:c r="U16" s="14" t="str"/>
      <x:c r="V16" s="14" t="str"/>
    </x:row>
    <x:row r="17">
      <x:c r="A17" s="14" t="str">
        <x:v>ANK_EVR_001</x:v>
      </x:c>
      <x:c r="B17" s="14" t="str">
        <x:v>Eversió de turmell amb banda</x:v>
      </x:c>
      <x:c r="C17" s="14" t="str">
        <x:v>Banded Ankle Eversion</x:v>
      </x:c>
      <x:c r="D17" s="14" t="str">
        <x:v>Eversió de turmell</x:v>
      </x:c>
      <x:c r="E17" s="14" t="str">
        <x:v>Banda</x:v>
      </x:c>
      <x:c r="F17" s="14" t="str">
        <x:v>Banda elàstica</x:v>
      </x:c>
      <x:c r="G17" s="14" t="str">
        <x:v>Màrfega</x:v>
      </x:c>
      <x:c r="H17" s="14" t="str"/>
      <x:c r="I17" s="14" t="str">
        <x:v>Peroneals</x:v>
      </x:c>
      <x:c r="J17" s="14" t="str">
        <x:v>Intrínsecs del peu</x:v>
      </x:c>
      <x:c r="K17" s="14" t="str">
        <x:v>Groc</x:v>
      </x:c>
      <x:c r="L17" s="14" t="n">
        <x:v>1</x:v>
      </x:c>
      <x:c r="M17" s="14" t="str">
        <x:v>Força / Prevenció</x:v>
      </x:c>
      <x:c r="N17" s="14" t="str">
        <x:v>Eversió activa sense banda</x:v>
      </x:c>
      <x:c r="O17" s="14" t="str">
        <x:v>Eversió en politja</x:v>
      </x:c>
      <x:c r="P17" s="14" t="str">
        <x:v>Dolor lateral de turmell</x:v>
      </x:c>
      <x:c r="Q17" s="14" t="str">
        <x:v>Girar la planta del peu cap a fora contra la banda sense rotar tota la cama.</x:v>
      </x:c>
      <x:c r="R17" s="14" t="str">
        <x:v>Compensar amb maluc; perdre control de tornada</x:v>
      </x:c>
      <x:c r="S17" s="14" t="str">
        <x:v>Sí</x:v>
      </x:c>
      <x:c r="T17" s="14" t="str">
        <x:v>No</x:v>
      </x:c>
      <x:c r="U17" s="14" t="str"/>
      <x:c r="V17" s="14" t="str"/>
    </x:row>
    <x:row r="18">
      <x:c r="A18" s="14" t="str">
        <x:v>ANK_EVR_002</x:v>
      </x:c>
      <x:c r="B18" s="14" t="str">
        <x:v>Eversió isomètrica contra paret</x:v>
      </x:c>
      <x:c r="C18" s="14" t="str">
        <x:v>Isometric Ankle Eversion</x:v>
      </x:c>
      <x:c r="D18" s="14" t="str">
        <x:v>Eversió de turmell</x:v>
      </x:c>
      <x:c r="E18" s="14" t="str">
        <x:v>Isomètric</x:v>
      </x:c>
      <x:c r="F18" s="14" t="str">
        <x:v>Paret</x:v>
      </x:c>
      <x:c r="G18" s="14" t="str">
        <x:v>Pes corporal</x:v>
      </x:c>
      <x:c r="H18" s="14" t="str"/>
      <x:c r="I18" s="14" t="str">
        <x:v>Peroneals</x:v>
      </x:c>
      <x:c r="J18" s="14" t="str">
        <x:v>Intrínsecs del peu</x:v>
      </x:c>
      <x:c r="K18" s="14" t="str">
        <x:v>Groc</x:v>
      </x:c>
      <x:c r="L18" s="14" t="n">
        <x:v>1</x:v>
      </x:c>
      <x:c r="M18" s="14" t="str">
        <x:v>Readaptació / Analgèsia</x:v>
      </x:c>
      <x:c r="N18" s="14" t="str">
        <x:v>Activació suau d’eversió</x:v>
      </x:c>
      <x:c r="O18" s="14" t="str">
        <x:v>Eversió de turmell amb banda</x:v>
      </x:c>
      <x:c r="P18" s="14" t="str">
        <x:v>Dolor lateral intens</x:v>
      </x:c>
      <x:c r="Q18" s="14" t="str">
        <x:v>Pressionar la part externa del peu contra una paret sense moviment visible.</x:v>
      </x:c>
      <x:c r="R18" s="14" t="str">
        <x:v>Aplicar massa pressió; generar dolor</x:v>
      </x:c>
      <x:c r="S18" s="14" t="str">
        <x:v>Sí</x:v>
      </x:c>
      <x:c r="T18" s="14" t="str">
        <x:v>No</x:v>
      </x:c>
      <x:c r="U18" s="14" t="str"/>
      <x:c r="V18" s="14" t="str"/>
    </x:row>
    <x:row r="19">
      <x:c r="A19" s="14" t="str">
        <x:v>ANK_EVR_003</x:v>
      </x:c>
      <x:c r="B19" s="14" t="str">
        <x:v>Eversió de turmell en politja</x:v>
      </x:c>
      <x:c r="C19" s="14" t="str">
        <x:v>Cable Ankle Eversion</x:v>
      </x:c>
      <x:c r="D19" s="14" t="str">
        <x:v>Eversió de turmell</x:v>
      </x:c>
      <x:c r="E19" s="14" t="str">
        <x:v>Politja</x:v>
      </x:c>
      <x:c r="F19" s="14" t="str">
        <x:v>Politja</x:v>
      </x:c>
      <x:c r="G19" s="14" t="str">
        <x:v>Turmellera</x:v>
      </x:c>
      <x:c r="H19" s="14" t="str">
        <x:v>Banda elàstica</x:v>
      </x:c>
      <x:c r="I19" s="14" t="str">
        <x:v>Peroneals</x:v>
      </x:c>
      <x:c r="J19" s="14" t="str">
        <x:v>Soli; intrínsecs del peu</x:v>
      </x:c>
      <x:c r="K19" s="14" t="str">
        <x:v>Blau</x:v>
      </x:c>
      <x:c r="L19" s="14" t="n">
        <x:v>2</x:v>
      </x:c>
      <x:c r="M19" s="14" t="str">
        <x:v>Força / Control lateral</x:v>
      </x:c>
      <x:c r="N19" s="14" t="str">
        <x:v>Eversió amb banda</x:v>
      </x:c>
      <x:c r="O19" s="14" t="str">
        <x:v>Eversió en politja amb més càrrega</x:v>
      </x:c>
      <x:c r="P19" s="14" t="str">
        <x:v>Esguinç agut o dolor lateral</x:v>
      </x:c>
      <x:c r="Q19" s="14" t="str">
        <x:v>Portar el peu cap a fora mantenint el genoll estable i controlant la tornada.</x:v>
      </x:c>
      <x:c r="R19" s="14" t="str">
        <x:v>Moure tota la cama; perdre rang útil</x:v>
      </x:c>
      <x:c r="S19" s="14" t="str">
        <x:v>Sí</x:v>
      </x:c>
      <x:c r="T19" s="14" t="str">
        <x:v>No</x:v>
      </x:c>
      <x:c r="U19" s="14" t="str"/>
      <x:c r="V19" s="14" t="str"/>
    </x:row>
    <x:row r="20">
      <x:c r="A20" s="14" t="str">
        <x:v>ANK_EVR_004</x:v>
      </x:c>
      <x:c r="B20" s="14" t="str">
        <x:v>Control d’eversió en suport monopodal</x:v>
      </x:c>
      <x:c r="C20" s="14" t="str">
        <x:v>Single Leg Eversion Control</x:v>
      </x:c>
      <x:c r="D20" s="14" t="str">
        <x:v>Eversió de turmell</x:v>
      </x:c>
      <x:c r="E20" s="14" t="str">
        <x:v>Monopodal / Control</x:v>
      </x:c>
      <x:c r="F20" s="14" t="str">
        <x:v>Pes corporal</x:v>
      </x:c>
      <x:c r="G20" s="14" t="str">
        <x:v>Màrfega</x:v>
      </x:c>
      <x:c r="H20" s="14" t="str"/>
      <x:c r="I20" s="14" t="str">
        <x:v>Peroneals; intrínsecs del peu</x:v>
      </x:c>
      <x:c r="J20" s="14" t="str">
        <x:v>Gluti mitjà; tibial posterior</x:v>
      </x:c>
      <x:c r="K20" s="14" t="str">
        <x:v>Blau</x:v>
      </x:c>
      <x:c r="L20" s="14" t="n">
        <x:v>3</x:v>
      </x:c>
      <x:c r="M20" s="14" t="str">
        <x:v>Estabilitat / Control motor</x:v>
      </x:c>
      <x:c r="N20" s="14" t="str">
        <x:v>Equilibri monopodal estable</x:v>
      </x:c>
      <x:c r="O20" s="14" t="str">
        <x:v>Control d’eversió amb abast lateral</x:v>
      </x:c>
      <x:c r="P20" s="14" t="str">
        <x:v>Inestabilitat lateral alta</x:v>
      </x:c>
      <x:c r="Q20" s="14" t="str">
        <x:v>Mantenir el peu actiu i controlar que el pes no caigui excessivament cap a la vora externa.</x:v>
      </x:c>
      <x:c r="R20" s="14" t="str">
        <x:v>Agafar-se amb els dits; bloquejar el turmell</x:v>
      </x:c>
      <x:c r="S20" s="14" t="str">
        <x:v>Sí</x:v>
      </x:c>
      <x:c r="T20" s="14" t="str">
        <x:v>No</x:v>
      </x:c>
      <x:c r="U20" s="14" t="str"/>
      <x:c r="V20" s="14" t="str"/>
    </x:row>
    <x:row r="21">
      <x:c r="A21" s="14" t="str">
        <x:v>ANK_EVR_005</x:v>
      </x:c>
      <x:c r="B21" s="14" t="str">
        <x:v>Caminada lateral amb mini-band i peu actiu</x:v>
      </x:c>
      <x:c r="C21" s="14" t="str">
        <x:v>Lateral Band Walk with Foot Control</x:v>
      </x:c>
      <x:c r="D21" s="14" t="str">
        <x:v>Eversió de turmell</x:v>
      </x:c>
      <x:c r="E21" s="14" t="str">
        <x:v>Dinàmic / Banda</x:v>
      </x:c>
      <x:c r="F21" s="14" t="str">
        <x:v>Mini-band</x:v>
      </x:c>
      <x:c r="G21" s="14" t="str">
        <x:v>Pes corporal</x:v>
      </x:c>
      <x:c r="H21" s="14" t="str"/>
      <x:c r="I21" s="14" t="str">
        <x:v>Peroneals; gluti mitjà</x:v>
      </x:c>
      <x:c r="J21" s="14" t="str">
        <x:v>Intrínsecs del peu</x:v>
      </x:c>
      <x:c r="K21" s="14" t="str">
        <x:v>Blau</x:v>
      </x:c>
      <x:c r="L21" s="14" t="n">
        <x:v>3</x:v>
      </x:c>
      <x:c r="M21" s="14" t="str">
        <x:v>Control lateral / Força</x:v>
      </x:c>
      <x:c r="N21" s="14" t="str">
        <x:v>Control d’eversió en suport monopodal</x:v>
      </x:c>
      <x:c r="O21" s="14" t="str">
        <x:v>Desplaçament lateral reactiu</x:v>
      </x:c>
      <x:c r="P21" s="14" t="str">
        <x:v>Dolor lateral de turmell o genoll</x:v>
      </x:c>
      <x:c r="Q21" s="14" t="str">
        <x:v>Fer passos laterals mantenint trípode del peu i alineació turmell-genoll-maluc.</x:v>
      </x:c>
      <x:c r="R21" s="14" t="str">
        <x:v>Arrossegar els peus; col·lapsar l’arc</x:v>
      </x:c>
      <x:c r="S21" s="14" t="str">
        <x:v>Sí</x:v>
      </x:c>
      <x:c r="T21" s="14" t="str">
        <x:v>No</x:v>
      </x:c>
      <x:c r="U21" s="14" t="str"/>
      <x:c r="V21" s="14" t="str"/>
    </x:row>
    <x:row r="22">
      <x:c r="A22" s="14" t="str">
        <x:v>ANK_STAB_001</x:v>
      </x:c>
      <x:c r="B22" s="14" t="str">
        <x:v>Equilibri monopodal</x:v>
      </x:c>
      <x:c r="C22" s="14" t="str">
        <x:v>Single Leg Balance</x:v>
      </x:c>
      <x:c r="D22" s="14" t="str">
        <x:v>Estabilitat de turmell / peu</x:v>
      </x:c>
      <x:c r="E22" s="14" t="str">
        <x:v>Monopodal estàtic</x:v>
      </x:c>
      <x:c r="F22" s="14" t="str">
        <x:v>Pes corporal</x:v>
      </x:c>
      <x:c r="G22" s="14" t="str">
        <x:v>Màrfega</x:v>
      </x:c>
      <x:c r="H22" s="14" t="str"/>
      <x:c r="I22" s="14" t="str">
        <x:v>Intrínsecs del peu; peroneals; tibial posterior</x:v>
      </x:c>
      <x:c r="J22" s="14" t="str">
        <x:v>Gluti mitjà; core</x:v>
      </x:c>
      <x:c r="K22" s="14" t="str">
        <x:v>Groc</x:v>
      </x:c>
      <x:c r="L22" s="14" t="n">
        <x:v>1</x:v>
      </x:c>
      <x:c r="M22" s="14" t="str">
        <x:v>Estabilitat / Control motor</x:v>
      </x:c>
      <x:c r="N22" s="14" t="str">
        <x:v>Equilibri bipodal</x:v>
      </x:c>
      <x:c r="O22" s="14" t="str">
        <x:v>Equilibri monopodal amb abast</x:v>
      </x:c>
      <x:c r="P22" s="14" t="str">
        <x:v>Inestabilitat aguda o risc de caiguda</x:v>
      </x:c>
      <x:c r="Q22" s="14" t="str">
        <x:v>Mantenir-se sobre una cama amb el peu actiu i mirada estable.</x:v>
      </x:c>
      <x:c r="R22" s="14" t="str">
        <x:v>Agafar el terra amb els dits; genoll en valgo</x:v>
      </x:c>
      <x:c r="S22" s="14" t="str">
        <x:v>Sí</x:v>
      </x:c>
      <x:c r="T22" s="14" t="str">
        <x:v>No</x:v>
      </x:c>
      <x:c r="U22" s="14" t="str"/>
      <x:c r="V22" s="14" t="str"/>
    </x:row>
    <x:row r="23">
      <x:c r="A23" s="14" t="str">
        <x:v>ANK_STAB_002</x:v>
      </x:c>
      <x:c r="B23" s="14" t="str">
        <x:v>Equilibri monopodal amb abast anterior</x:v>
      </x:c>
      <x:c r="C23" s="14" t="str">
        <x:v>Single Leg Anterior Reach</x:v>
      </x:c>
      <x:c r="D23" s="14" t="str">
        <x:v>Estabilitat de turmell / peu</x:v>
      </x:c>
      <x:c r="E23" s="14" t="str">
        <x:v>Abast</x:v>
      </x:c>
      <x:c r="F23" s="14" t="str">
        <x:v>Pes corporal</x:v>
      </x:c>
      <x:c r="G23" s="14" t="str">
        <x:v>Màrfega</x:v>
      </x:c>
      <x:c r="H23" s="14" t="str"/>
      <x:c r="I23" s="14" t="str">
        <x:v>Intrínsecs del peu; peroneals</x:v>
      </x:c>
      <x:c r="J23" s="14" t="str">
        <x:v>Gluti mitjà; quàdriceps</x:v>
      </x:c>
      <x:c r="K23" s="14" t="str">
        <x:v>Blau</x:v>
      </x:c>
      <x:c r="L23" s="14" t="n">
        <x:v>3</x:v>
      </x:c>
      <x:c r="M23" s="14" t="str">
        <x:v>Estabilitat dinàmica</x:v>
      </x:c>
      <x:c r="N23" s="14" t="str">
        <x:v>Equilibri monopodal</x:v>
      </x:c>
      <x:c r="O23" s="14" t="str">
        <x:v>Star Excursion</x:v>
      </x:c>
      <x:c r="P23" s="14" t="str">
        <x:v>Dolor de turmell o genoll en càrrega</x:v>
      </x:c>
      <x:c r="Q23" s="14" t="str">
        <x:v>Arribar amb la cama lliure cap endavant sense perdre el trípode del peu de suport.</x:v>
      </x:c>
      <x:c r="R23" s="14" t="str">
        <x:v>Desplaçar el genoll cap a dins; perdre control de pelvis</x:v>
      </x:c>
      <x:c r="S23" s="14" t="str">
        <x:v>Sí</x:v>
      </x:c>
      <x:c r="T23" s="14" t="str">
        <x:v>No</x:v>
      </x:c>
      <x:c r="U23" s="14" t="str"/>
      <x:c r="V23" s="14" t="str"/>
    </x:row>
    <x:row r="24">
      <x:c r="A24" s="14" t="str">
        <x:v>ANK_STAB_003</x:v>
      </x:c>
      <x:c r="B24" s="14" t="str">
        <x:v>Star Excursion</x:v>
      </x:c>
      <x:c r="C24" s="14" t="str">
        <x:v>Star Excursion Balance Drill</x:v>
      </x:c>
      <x:c r="D24" s="14" t="str">
        <x:v>Estabilitat de turmell / peu</x:v>
      </x:c>
      <x:c r="E24" s="14" t="str">
        <x:v>Multidireccional</x:v>
      </x:c>
      <x:c r="F24" s="14" t="str">
        <x:v>Pes corporal</x:v>
      </x:c>
      <x:c r="G24" s="14" t="str">
        <x:v>Màrfega</x:v>
      </x:c>
      <x:c r="H24" s="14" t="str"/>
      <x:c r="I24" s="14" t="str">
        <x:v>Intrínsecs del peu; peroneals; tibial posterior</x:v>
      </x:c>
      <x:c r="J24" s="14" t="str">
        <x:v>Gluti mitjà; core</x:v>
      </x:c>
      <x:c r="K24" s="14" t="str">
        <x:v>Vermell</x:v>
      </x:c>
      <x:c r="L24" s="14" t="n">
        <x:v>4</x:v>
      </x:c>
      <x:c r="M24" s="14" t="str">
        <x:v>Control multidireccional</x:v>
      </x:c>
      <x:c r="N24" s="14" t="str">
        <x:v>Equilibri monopodal amb abast anterior</x:v>
      </x:c>
      <x:c r="O24" s="14" t="str">
        <x:v>Y Balance dinàmic</x:v>
      </x:c>
      <x:c r="P24" s="14" t="str">
        <x:v>Esguinç recent o baixa tolerància a canvis de direcció</x:v>
      </x:c>
      <x:c r="Q24" s="14" t="str">
        <x:v>Arribar amb la cama lliure en diverses direccions mantenint el peu de suport estable.</x:v>
      </x:c>
      <x:c r="R24" s="14" t="str">
        <x:v>Buscar distància sense control; aixecar taló</x:v>
      </x:c>
      <x:c r="S24" s="14" t="str">
        <x:v>Sí</x:v>
      </x:c>
      <x:c r="T24" s="14" t="str">
        <x:v>No</x:v>
      </x:c>
      <x:c r="U24" s="14" t="str"/>
      <x:c r="V24" s="14" t="str"/>
    </x:row>
    <x:row r="25">
      <x:c r="A25" s="14" t="str">
        <x:v>ANK_STAB_004</x:v>
      </x:c>
      <x:c r="B25" s="14" t="str">
        <x:v>Equilibri monopodal amb passada de pilota medicinal</x:v>
      </x:c>
      <x:c r="C25" s="14" t="str">
        <x:v>Single Leg Balance with Medicine Ball Pass</x:v>
      </x:c>
      <x:c r="D25" s="14" t="str">
        <x:v>Estabilitat de turmell / peu</x:v>
      </x:c>
      <x:c r="E25" s="14" t="str">
        <x:v>Pertorbació / Coordinació</x:v>
      </x:c>
      <x:c r="F25" s="14" t="str">
        <x:v>Pilota medicinal</x:v>
      </x:c>
      <x:c r="G25" s="14" t="str">
        <x:v>Pes corporal</x:v>
      </x:c>
      <x:c r="H25" s="14" t="str">
        <x:v>Partner</x:v>
      </x:c>
      <x:c r="I25" s="14" t="str">
        <x:v>Intrínsecs del peu; peroneals</x:v>
      </x:c>
      <x:c r="J25" s="14" t="str">
        <x:v>Core; estabilitzadors de maluc</x:v>
      </x:c>
      <x:c r="K25" s="14" t="str">
        <x:v>Blau</x:v>
      </x:c>
      <x:c r="L25" s="14" t="n">
        <x:v>3</x:v>
      </x:c>
      <x:c r="M25" s="14" t="str">
        <x:v>Estabilitat reactiva / Coordinació</x:v>
      </x:c>
      <x:c r="N25" s="14" t="str">
        <x:v>Equilibri monopodal</x:v>
      </x:c>
      <x:c r="O25" s="14" t="str">
        <x:v>Equilibri monopodal amb llançament</x:v>
      </x:c>
      <x:c r="P25" s="14" t="str">
        <x:v>Risc de caiguda o dolor agut</x:v>
      </x:c>
      <x:c r="Q25" s="14" t="str">
        <x:v>Mantenir l’equilibri mentre es rep o es passa la pilota medicinal.</x:v>
      </x:c>
      <x:c r="R25" s="14" t="str">
        <x:v>Perdre alineació; bloquejar respiració</x:v>
      </x:c>
      <x:c r="S25" s="14" t="str">
        <x:v>Sí</x:v>
      </x:c>
      <x:c r="T25" s="14" t="str">
        <x:v>No</x:v>
      </x:c>
      <x:c r="U25" s="14" t="str"/>
      <x:c r="V25" s="14" t="str"/>
    </x:row>
    <x:row r="26">
      <x:c r="A26" s="14" t="str">
        <x:v>ANK_STAB_005</x:v>
      </x:c>
      <x:c r="B26" s="14" t="str">
        <x:v>Recepció monopodal baixa</x:v>
      </x:c>
      <x:c r="C26" s="14" t="str">
        <x:v>Low Single Leg Landing</x:v>
      </x:c>
      <x:c r="D26" s="14" t="str">
        <x:v>Estabilitat de turmell / peu</x:v>
      </x:c>
      <x:c r="E26" s="14" t="str">
        <x:v>Aterratge</x:v>
      </x:c>
      <x:c r="F26" s="14" t="str">
        <x:v>Pes corporal</x:v>
      </x:c>
      <x:c r="G26" s="14" t="str">
        <x:v>Caixa / calaix</x:v>
      </x:c>
      <x:c r="H26" s="14" t="str">
        <x:v>Màrfega</x:v>
      </x:c>
      <x:c r="I26" s="14" t="str">
        <x:v>Intrínsecs del peu; peroneals; tibial posterior</x:v>
      </x:c>
      <x:c r="J26" s="14" t="str">
        <x:v>Gluti mitjà; quàdriceps</x:v>
      </x:c>
      <x:c r="K26" s="14" t="str">
        <x:v>Vermell</x:v>
      </x:c>
      <x:c r="L26" s="14" t="n">
        <x:v>4</x:v>
      </x:c>
      <x:c r="M26" s="14" t="str">
        <x:v>Estabilitat / Readaptació esportiva</x:v>
      </x:c>
      <x:c r="N26" s="14" t="str">
        <x:v>Equilibri monopodal amb abast</x:v>
      </x:c>
      <x:c r="O26" s="14" t="str">
        <x:v>Recepció monopodal amb canvi de direcció</x:v>
      </x:c>
      <x:c r="P26" s="14" t="str">
        <x:v>Dolor o inestabilitat després d’esquinç</x:v>
      </x:c>
      <x:c r="Q26" s="14" t="str">
        <x:v>Aterrar suau sobre una cama, estabilitzar 2-3 segons i mantenir alineació.</x:v>
      </x:c>
      <x:c r="R26" s="14" t="str">
        <x:v>Aterrar rígid; col·lapsar genoll o arc</x:v>
      </x:c>
      <x:c r="S26" s="14" t="str">
        <x:v>Sí</x:v>
      </x:c>
      <x:c r="T26" s="14" t="str">
        <x:v>No</x:v>
      </x:c>
      <x:c r="U26" s="14" t="str"/>
      <x:c r="V26" s="14" t="str"/>
    </x:row>
    <x:row r="27">
      <x:c r="A27" s="14" t="str">
        <x:v>ANK_ELA_001</x:v>
      </x:c>
      <x:c r="B27" s="14" t="str">
        <x:v>Pogos bipodals</x:v>
      </x:c>
      <x:c r="C27" s="14" t="str">
        <x:v>Double Leg Pogos</x:v>
      </x:c>
      <x:c r="D27" s="14" t="str">
        <x:v>Rigidesa elàstica turmell-peu</x:v>
      </x:c>
      <x:c r="E27" s="14" t="str">
        <x:v>Reactivitat bilateral</x:v>
      </x:c>
      <x:c r="F27" s="14" t="str">
        <x:v>Pes corporal</x:v>
      </x:c>
      <x:c r="G27" s="14" t="str"/>
      <x:c r="H27" s="14" t="str"/>
      <x:c r="I27" s="14" t="str">
        <x:v>Bessons; soli; tendó d’Aquil·les</x:v>
      </x:c>
      <x:c r="J27" s="14" t="str">
        <x:v>Intrínsecs del peu</x:v>
      </x:c>
      <x:c r="K27" s="14" t="str">
        <x:v>Blau</x:v>
      </x:c>
      <x:c r="L27" s="14" t="n">
        <x:v>3</x:v>
      </x:c>
      <x:c r="M27" s="14" t="str">
        <x:v>Reactivitat / Potència elàstica</x:v>
      </x:c>
      <x:c r="N27" s="14" t="str">
        <x:v>Elevació de talons bilateral</x:v>
      </x:c>
      <x:c r="O27" s="14" t="str">
        <x:v>Pogos unipodals</x:v>
      </x:c>
      <x:c r="P27" s="14" t="str">
        <x:v>Dolor aquil·li o baixa tolerància a impactes</x:v>
      </x:c>
      <x:c r="Q27" s="14" t="str">
        <x:v>Fer rebots curts i ràpids amb mínima flexió de genoll, buscant elasticitat del turmell.</x:v>
      </x:c>
      <x:c r="R27" s="14" t="str">
        <x:v>Saltar massa alt; flexionar molt els genolls</x:v>
      </x:c>
      <x:c r="S27" s="14" t="str">
        <x:v>Sí</x:v>
      </x:c>
      <x:c r="T27" s="14" t="str">
        <x:v>No</x:v>
      </x:c>
      <x:c r="U27" s="14" t="str"/>
      <x:c r="V27" s="14" t="str"/>
    </x:row>
    <x:row r="28">
      <x:c r="A28" s="14" t="str">
        <x:v>ANK_ELA_002</x:v>
      </x:c>
      <x:c r="B28" s="14" t="str">
        <x:v>Pogos unipodals</x:v>
      </x:c>
      <x:c r="C28" s="14" t="str">
        <x:v>Single Leg Pogos</x:v>
      </x:c>
      <x:c r="D28" s="14" t="str">
        <x:v>Rigidesa elàstica turmell-peu</x:v>
      </x:c>
      <x:c r="E28" s="14" t="str">
        <x:v>Reactivitat unilateral</x:v>
      </x:c>
      <x:c r="F28" s="14" t="str">
        <x:v>Pes corporal</x:v>
      </x:c>
      <x:c r="G28" s="14" t="str"/>
      <x:c r="H28" s="14" t="str"/>
      <x:c r="I28" s="14" t="str">
        <x:v>Bessons; soli; tendó d’Aquil·les</x:v>
      </x:c>
      <x:c r="J28" s="14" t="str">
        <x:v>Peroneals; intrínsecs del peu</x:v>
      </x:c>
      <x:c r="K28" s="14" t="str">
        <x:v>Vermell</x:v>
      </x:c>
      <x:c r="L28" s="14" t="n">
        <x:v>4</x:v>
      </x:c>
      <x:c r="M28" s="14" t="str">
        <x:v>Reactivitat unilateral</x:v>
      </x:c>
      <x:c r="N28" s="14" t="str">
        <x:v>Pogos bipodals</x:v>
      </x:c>
      <x:c r="O28" s="14" t="str">
        <x:v>Pogos unipodals multidireccionals</x:v>
      </x:c>
      <x:c r="P28" s="14" t="str">
        <x:v>Dolor aquil·li o inestabilitat de turmell</x:v>
      </x:c>
      <x:c r="Q28" s="14" t="str">
        <x:v>Rebots petits sobre una cama mantenint ritme i control del peu.</x:v>
      </x:c>
      <x:c r="R28" s="14" t="str">
        <x:v>Caure cap a dins; perdre rigidesa</x:v>
      </x:c>
      <x:c r="S28" s="14" t="str">
        <x:v>Sí</x:v>
      </x:c>
      <x:c r="T28" s="14" t="str">
        <x:v>No</x:v>
      </x:c>
      <x:c r="U28" s="14" t="str"/>
      <x:c r="V28" s="14" t="str"/>
    </x:row>
    <x:row r="29">
      <x:c r="A29" s="14" t="str">
        <x:v>ANK_ELA_003</x:v>
      </x:c>
      <x:c r="B29" s="14" t="str">
        <x:v>Salts de turmell sobre línia</x:v>
      </x:c>
      <x:c r="C29" s="14" t="str">
        <x:v>Line Ankle Hops</x:v>
      </x:c>
      <x:c r="D29" s="14" t="str">
        <x:v>Rigidesa elàstica turmell-peu</x:v>
      </x:c>
      <x:c r="E29" s="14" t="str">
        <x:v>Multidireccional</x:v>
      </x:c>
      <x:c r="F29" s="14" t="str">
        <x:v>Pes corporal</x:v>
      </x:c>
      <x:c r="G29" s="14" t="str">
        <x:v>Màrfega</x:v>
      </x:c>
      <x:c r="H29" s="14" t="str"/>
      <x:c r="I29" s="14" t="str">
        <x:v>Bessons; soli; peroneals</x:v>
      </x:c>
      <x:c r="J29" s="14" t="str">
        <x:v>Intrínsecs del peu</x:v>
      </x:c>
      <x:c r="K29" s="14" t="str">
        <x:v>Vermell</x:v>
      </x:c>
      <x:c r="L29" s="14" t="n">
        <x:v>4</x:v>
      </x:c>
      <x:c r="M29" s="14" t="str">
        <x:v>Reactivitat / Coordinació</x:v>
      </x:c>
      <x:c r="N29" s="14" t="str">
        <x:v>Pogos bipodals</x:v>
      </x:c>
      <x:c r="O29" s="14" t="str">
        <x:v>Salts laterals reactius</x:v>
      </x:c>
      <x:c r="P29" s="14" t="str">
        <x:v>Dolor amb impacte o esquinç recent</x:v>
      </x:c>
      <x:c r="Q29" s="14" t="str">
        <x:v>Fer salts petits sobre una línia endavant-enrere o lateralment amb contactes ràpids.</x:v>
      </x:c>
      <x:c r="R29" s="14" t="str">
        <x:v>Fer salts massa llargs; perdre ritme</x:v>
      </x:c>
      <x:c r="S29" s="14" t="str">
        <x:v>Sí</x:v>
      </x:c>
      <x:c r="T29" s="14" t="str">
        <x:v>No</x:v>
      </x:c>
      <x:c r="U29" s="14" t="str"/>
      <x:c r="V29" s="14" t="str"/>
    </x:row>
    <x:row r="30">
      <x:c r="A30" s="14" t="str">
        <x:v>ANK_ELA_004</x:v>
      </x:c>
      <x:c r="B30" s="14" t="str">
        <x:v>Skipping baix reactiu</x:v>
      </x:c>
      <x:c r="C30" s="14" t="str">
        <x:v>Low Reactive Skipping</x:v>
      </x:c>
      <x:c r="D30" s="14" t="str">
        <x:v>Rigidesa elàstica turmell-peu</x:v>
      </x:c>
      <x:c r="E30" s="14" t="str">
        <x:v>Locomoció reactiva</x:v>
      </x:c>
      <x:c r="F30" s="14" t="str">
        <x:v>Pes corporal</x:v>
      </x:c>
      <x:c r="G30" s="14" t="str"/>
      <x:c r="H30" s="14" t="str"/>
      <x:c r="I30" s="14" t="str">
        <x:v>Bessons; soli; flexors de maluc</x:v>
      </x:c>
      <x:c r="J30" s="14" t="str">
        <x:v>Intrínsecs del peu; core</x:v>
      </x:c>
      <x:c r="K30" s="14" t="str">
        <x:v>Blau</x:v>
      </x:c>
      <x:c r="L30" s="14" t="n">
        <x:v>3</x:v>
      </x:c>
      <x:c r="M30" s="14" t="str">
        <x:v>Reactivitat / Condició física</x:v>
      </x:c>
      <x:c r="N30" s="14" t="str">
        <x:v>Marxa de puntes</x:v>
      </x:c>
      <x:c r="O30" s="14" t="str">
        <x:v>Skipping alt reactiu</x:v>
      </x:c>
      <x:c r="P30" s="14" t="str">
        <x:v>Dolor d’impacte o mala coordinació</x:v>
      </x:c>
      <x:c r="Q30" s="14" t="str">
        <x:v>Mantenir contactes ràpids amb el terra i turmell actiu.</x:v>
      </x:c>
      <x:c r="R30" s="14" t="str">
        <x:v>Trepitjar fort; perdre postura</x:v>
      </x:c>
      <x:c r="S30" s="14" t="str">
        <x:v>Sí</x:v>
      </x:c>
      <x:c r="T30" s="14" t="str">
        <x:v>No</x:v>
      </x:c>
      <x:c r="U30" s="14" t="str"/>
      <x:c r="V30" s="14" t="str"/>
    </x:row>
    <x:row r="31">
      <x:c r="A31" s="14" t="str">
        <x:v>ANK_ELA_005</x:v>
      </x:c>
      <x:c r="B31" s="14" t="str">
        <x:v>Rebots de turmell al trineu lleuger</x:v>
      </x:c>
      <x:c r="C31" s="14" t="str">
        <x:v>Light Sled Ankle Bounces</x:v>
      </x:c>
      <x:c r="D31" s="14" t="str">
        <x:v>Rigidesa elàstica turmell-peu</x:v>
      </x:c>
      <x:c r="E31" s="14" t="str">
        <x:v>Trineu / Reactivitat</x:v>
      </x:c>
      <x:c r="F31" s="14" t="str">
        <x:v>Trineu d’arrossegament</x:v>
      </x:c>
      <x:c r="G31" s="14" t="str">
        <x:v>Pes corporal</x:v>
      </x:c>
      <x:c r="H31" s="14" t="str"/>
      <x:c r="I31" s="14" t="str">
        <x:v>Soli; bessons</x:v>
      </x:c>
      <x:c r="J31" s="14" t="str">
        <x:v>Glutis; quàdriceps</x:v>
      </x:c>
      <x:c r="K31" s="14" t="str">
        <x:v>Vermell</x:v>
      </x:c>
      <x:c r="L31" s="14" t="n">
        <x:v>4</x:v>
      </x:c>
      <x:c r="M31" s="14" t="str">
        <x:v>Reactivitat / Condicionament</x:v>
      </x:c>
      <x:c r="N31" s="14" t="str">
        <x:v>Pogos bipodals</x:v>
      </x:c>
      <x:c r="O31" s="14" t="str">
        <x:v>Empenta de trineu reactiva</x:v>
      </x:c>
      <x:c r="P31" s="14" t="str">
        <x:v>Dolor aquil·li o fatiga alta</x:v>
      </x:c>
      <x:c r="Q31" s="14" t="str">
        <x:v>Fer contactes curts i elàstics mentre es desplaça el trineu amb càrrega baixa.</x:v>
      </x:c>
      <x:c r="R31" s="14" t="str">
        <x:v>Convertir-ho en empenta lenta; perdre reactivitat</x:v>
      </x:c>
      <x:c r="S31" s="14" t="str">
        <x:v>Sí</x:v>
      </x:c>
      <x:c r="T31" s="14" t="str">
        <x:v>No</x:v>
      </x:c>
      <x:c r="U31" s="14" t="str"/>
      <x:c r="V31" s="14" t="str"/>
    </x:row>
    <x:row r="32">
      <x:c r="A32" s="14" t="str">
        <x:v>ANK_MOB_001</x:v>
      </x:c>
      <x:c r="B32" s="14" t="str">
        <x:v>Mobilitat de turmell en posició de cavaller</x:v>
      </x:c>
      <x:c r="C32" s="14" t="str">
        <x:v>Half Kneeling Ankle Mobility</x:v>
      </x:c>
      <x:c r="D32" s="14" t="str">
        <x:v>Mobilitat peu-turmell</x:v>
      </x:c>
      <x:c r="E32" s="14" t="str">
        <x:v>Dorsiflexió / Cavaller</x:v>
      </x:c>
      <x:c r="F32" s="14" t="str">
        <x:v>Màrfega</x:v>
      </x:c>
      <x:c r="G32" s="14" t="str">
        <x:v>Pes corporal</x:v>
      </x:c>
      <x:c r="H32" s="14" t="str">
        <x:v>Pica / pal</x:v>
      </x:c>
      <x:c r="I32" s="14" t="str">
        <x:v>Soli; bessons</x:v>
      </x:c>
      <x:c r="J32" s="14" t="str">
        <x:v>Tibial anterior; intrínsecs del peu</x:v>
      </x:c>
      <x:c r="K32" s="14" t="str">
        <x:v>Groc</x:v>
      </x:c>
      <x:c r="L32" s="14" t="n">
        <x:v>1</x:v>
      </x:c>
      <x:c r="M32" s="14" t="str">
        <x:v>Mobilitat / Control</x:v>
      </x:c>
      <x:c r="N32" s="14" t="str">
        <x:v>Mobilitat passiva de turmell</x:v>
      </x:c>
      <x:c r="O32" s="14" t="str">
        <x:v>Flexió dorsal de turmell a paret</x:v>
      </x:c>
      <x:c r="P32" s="14" t="str">
        <x:v>Pinçament anterior de turmell</x:v>
      </x:c>
      <x:c r="Q32" s="14" t="str">
        <x:v>Avançar el genoll mantenint el taló al terra i el peu alineat.</x:v>
      </x:c>
      <x:c r="R32" s="14" t="str">
        <x:v>Aixecar taló; deixar caure l’arc</x:v>
      </x:c>
      <x:c r="S32" s="14" t="str">
        <x:v>Sí</x:v>
      </x:c>
      <x:c r="T32" s="14" t="str">
        <x:v>No</x:v>
      </x:c>
      <x:c r="U32" s="14" t="str"/>
      <x:c r="V32" s="14" t="str"/>
    </x:row>
    <x:row r="33">
      <x:c r="A33" s="14" t="str">
        <x:v>ANK_MOB_002</x:v>
      </x:c>
      <x:c r="B33" s="14" t="str">
        <x:v>Mobilitat de turmell amb pica</x:v>
      </x:c>
      <x:c r="C33" s="14" t="str">
        <x:v>Ankle Mobility with Dowel</x:v>
      </x:c>
      <x:c r="D33" s="14" t="str">
        <x:v>Mobilitat peu-turmell</x:v>
      </x:c>
      <x:c r="E33" s="14" t="str">
        <x:v>Control d’alineació</x:v>
      </x:c>
      <x:c r="F33" s="14" t="str">
        <x:v>Pica / pal</x:v>
      </x:c>
      <x:c r="G33" s="14" t="str">
        <x:v>Màrfega</x:v>
      </x:c>
      <x:c r="H33" s="14" t="str"/>
      <x:c r="I33" s="14" t="str">
        <x:v>Soli; bessons</x:v>
      </x:c>
      <x:c r="J33" s="14" t="str">
        <x:v>Tibial anterior; musculatura del peu</x:v>
      </x:c>
      <x:c r="K33" s="14" t="str">
        <x:v>Groc</x:v>
      </x:c>
      <x:c r="L33" s="14" t="n">
        <x:v>1</x:v>
      </x:c>
      <x:c r="M33" s="14" t="str">
        <x:v>Mobilitat / Tècnica</x:v>
      </x:c>
      <x:c r="N33" s="14" t="str">
        <x:v>Mobilitat de turmell en posició de cavaller</x:v>
      </x:c>
      <x:c r="O33" s="14" t="str">
        <x:v>Mobilitat carregada amb kettlebell</x:v>
      </x:c>
      <x:c r="P33" s="14" t="str">
        <x:v>Dolor anterior de turmell</x:v>
      </x:c>
      <x:c r="Q33" s="14" t="str">
        <x:v>Utilitzar la pica com a referència per mantenir el genoll alineat amb el peu.</x:v>
      </x:c>
      <x:c r="R33" s="14" t="str">
        <x:v>Portar el genoll cap a dins; compensar amb pronació excessiva</x:v>
      </x:c>
      <x:c r="S33" s="14" t="str">
        <x:v>Sí</x:v>
      </x:c>
      <x:c r="T33" s="14" t="str">
        <x:v>No</x:v>
      </x:c>
      <x:c r="U33" s="14" t="str"/>
      <x:c r="V33" s="14" t="str"/>
    </x:row>
    <x:row r="34">
      <x:c r="A34" s="14" t="str">
        <x:v>ANK_MOB_003</x:v>
      </x:c>
      <x:c r="B34" s="14" t="str">
        <x:v>Mobilitat carregada de turmell amb kettlebell</x:v>
      </x:c>
      <x:c r="C34" s="14" t="str">
        <x:v>Loaded Ankle Dorsiflexion Mobilization</x:v>
      </x:c>
      <x:c r="D34" s="14" t="str">
        <x:v>Mobilitat peu-turmell</x:v>
      </x:c>
      <x:c r="E34" s="14" t="str">
        <x:v>Mobilitat amb càrrega</x:v>
      </x:c>
      <x:c r="F34" s="14" t="str">
        <x:v>Kettlebells</x:v>
      </x:c>
      <x:c r="G34" s="14" t="str">
        <x:v>Màrfega</x:v>
      </x:c>
      <x:c r="H34" s="14" t="str"/>
      <x:c r="I34" s="14" t="str">
        <x:v>Soli; bessons</x:v>
      </x:c>
      <x:c r="J34" s="14" t="str">
        <x:v>Tibial anterior</x:v>
      </x:c>
      <x:c r="K34" s="14" t="str">
        <x:v>Blau</x:v>
      </x:c>
      <x:c r="L34" s="14" t="n">
        <x:v>3</x:v>
      </x:c>
      <x:c r="M34" s="14" t="str">
        <x:v>Mobilitat / Tolerància de càrrega</x:v>
      </x:c>
      <x:c r="N34" s="14" t="str">
        <x:v>Mobilitat de turmell amb pica</x:v>
      </x:c>
      <x:c r="O34" s="14" t="str">
        <x:v>Split squat amb dorsiflexió</x:v>
      </x:c>
      <x:c r="P34" s="14" t="str">
        <x:v>Dolor anterior o pinçament</x:v>
      </x:c>
      <x:c r="Q34" s="14" t="str">
        <x:v>Afegir càrrega progressiva sobre el genoll per guanyar rang útil en càrrega.</x:v>
      </x:c>
      <x:c r="R34" s="14" t="str">
        <x:v>Forçar dolor; perdre taló</x:v>
      </x:c>
      <x:c r="S34" s="14" t="str">
        <x:v>Sí</x:v>
      </x:c>
      <x:c r="T34" s="14" t="str">
        <x:v>No</x:v>
      </x:c>
      <x:c r="U34" s="14" t="str"/>
      <x:c r="V34" s="14" t="str"/>
    </x:row>
    <x:row r="35">
      <x:c r="A35" s="14" t="str">
        <x:v>ANK_MOB_004</x:v>
      </x:c>
      <x:c r="B35" s="14" t="str">
        <x:v>Mobilitat dels dits en extensió</x:v>
      </x:c>
      <x:c r="C35" s="14" t="str">
        <x:v>Toe Extension Mobility</x:v>
      </x:c>
      <x:c r="D35" s="14" t="str">
        <x:v>Mobilitat peu-turmell</x:v>
      </x:c>
      <x:c r="E35" s="14" t="str">
        <x:v>Dits / Avantpeu</x:v>
      </x:c>
      <x:c r="F35" s="14" t="str">
        <x:v>Màrfega</x:v>
      </x:c>
      <x:c r="G35" s="14" t="str">
        <x:v>Pes corporal</x:v>
      </x:c>
      <x:c r="H35" s="14" t="str"/>
      <x:c r="I35" s="14" t="str">
        <x:v>Flexors plantars; fàscia plantar</x:v>
      </x:c>
      <x:c r="J35" s="14" t="str">
        <x:v>Intrínsecs del peu</x:v>
      </x:c>
      <x:c r="K35" s="14" t="str">
        <x:v>Groc</x:v>
      </x:c>
      <x:c r="L35" s="14" t="n">
        <x:v>1</x:v>
      </x:c>
      <x:c r="M35" s="14" t="str">
        <x:v>Mobilitat / Preparació</x:v>
      </x:c>
      <x:c r="N35" s="14" t="str">
        <x:v>Mobilitat suau dels dits</x:v>
      </x:c>
      <x:c r="O35" s="14" t="str">
        <x:v>Posició de mig agenoll amb dits estesos</x:v>
      </x:c>
      <x:c r="P35" s="14" t="str">
        <x:v>Dolor metatarsal o fascitis irritable</x:v>
      </x:c>
      <x:c r="Q35" s="14" t="str">
        <x:v>Portar els dits en extensió progressiva sense dolor alt i mantenir respiració relaxada.</x:v>
      </x:c>
      <x:c r="R35" s="14" t="str">
        <x:v>Carregar massa pes; generar dolor plantar</x:v>
      </x:c>
      <x:c r="S35" s="14" t="str">
        <x:v>Sí</x:v>
      </x:c>
      <x:c r="T35" s="14" t="str">
        <x:v>No</x:v>
      </x:c>
      <x:c r="U35" s="14" t="str"/>
      <x:c r="V35" s="14" t="str"/>
    </x:row>
    <x:row r="36">
      <x:c r="A36" s="14" t="str">
        <x:v>ANK_MOB_005</x:v>
      </x:c>
      <x:c r="B36" s="14" t="str">
        <x:v>Alliberament plantar amb pilota de futbol</x:v>
      </x:c>
      <x:c r="C36" s="14" t="str">
        <x:v>Foot Rolling with Ball</x:v>
      </x:c>
      <x:c r="D36" s="14" t="str">
        <x:v>Mobilitat peu-turmell</x:v>
      </x:c>
      <x:c r="E36" s="14" t="str">
        <x:v>Planta del peu</x:v>
      </x:c>
      <x:c r="F36" s="14" t="str">
        <x:v>Pilota de futbol</x:v>
      </x:c>
      <x:c r="G36" s="14" t="str">
        <x:v>Pes corporal</x:v>
      </x:c>
      <x:c r="H36" s="14" t="str">
        <x:v>Pilota medicinal</x:v>
      </x:c>
      <x:c r="I36" s="14" t="str">
        <x:v>Fàscia plantar; intrínsecs del peu</x:v>
      </x:c>
      <x:c r="J36" s="14" t="str">
        <x:v>Flexors dels dits</x:v>
      </x:c>
      <x:c r="K36" s="14" t="str">
        <x:v>Groc</x:v>
      </x:c>
      <x:c r="L36" s="14" t="n">
        <x:v>1</x:v>
      </x:c>
      <x:c r="M36" s="14" t="str">
        <x:v>Mobilitat / Sensibilització</x:v>
      </x:c>
      <x:c r="N36" s="14" t="str">
        <x:v>Massatge plantar manual</x:v>
      </x:c>
      <x:c r="O36" s="14" t="str">
        <x:v>Peu curt després de rodament</x:v>
      </x:c>
      <x:c r="P36" s="14" t="str">
        <x:v>Dolor plantar agut o irritació alta</x:v>
      </x:c>
      <x:c r="Q36" s="14" t="str">
        <x:v>Rodar la planta del peu amb pressió tolerable abans d’exercicis de control.</x:v>
      </x:c>
      <x:c r="R36" s="14" t="str">
        <x:v>Pressionar massa fort; buscar dolor</x:v>
      </x:c>
      <x:c r="S36" s="14" t="str">
        <x:v>Sí</x:v>
      </x:c>
      <x:c r="T36" s="14" t="str">
        <x:v>No</x:v>
      </x:c>
      <x:c r="U36" s="14" t="str"/>
      <x:c r="V36" s="14" t="str"/>
    </x:row>
    <x:row r="37">
      <x:c r="A37" s="14" t="str">
        <x:v>ANK_INTR_001</x:v>
      </x:c>
      <x:c r="B37" s="14" t="str">
        <x:v>Peu curt</x:v>
      </x:c>
      <x:c r="C37" s="14" t="str">
        <x:v>Short Foot Exercise</x:v>
      </x:c>
      <x:c r="D37" s="14" t="str">
        <x:v>Força intrínseca del peu</x:v>
      </x:c>
      <x:c r="E37" s="14" t="str">
        <x:v>Arc actiu</x:v>
      </x:c>
      <x:c r="F37" s="14" t="str">
        <x:v>Pes corporal</x:v>
      </x:c>
      <x:c r="G37" s="14" t="str">
        <x:v>Màrfega</x:v>
      </x:c>
      <x:c r="H37" s="14" t="str"/>
      <x:c r="I37" s="14" t="str">
        <x:v>Intrínsecs del peu</x:v>
      </x:c>
      <x:c r="J37" s="14" t="str">
        <x:v>Tibial posterior</x:v>
      </x:c>
      <x:c r="K37" s="14" t="str">
        <x:v>Groc</x:v>
      </x:c>
      <x:c r="L37" s="14" t="n">
        <x:v>1</x:v>
      </x:c>
      <x:c r="M37" s="14" t="str">
        <x:v>Control motor / Activació</x:v>
      </x:c>
      <x:c r="N37" s="14" t="str">
        <x:v>Activació de l’arc en sedestació</x:v>
      </x:c>
      <x:c r="O37" s="14" t="str">
        <x:v>Peu curt en monopodal</x:v>
      </x:c>
      <x:c r="P37" s="14" t="str">
        <x:v>Dolor plantar agut</x:v>
      </x:c>
      <x:c r="Q37" s="14" t="str">
        <x:v>Elevar suaument l’arc apropant l’avantpeu al taló sense arrugar els dits.</x:v>
      </x:c>
      <x:c r="R37" s="14" t="str">
        <x:v>Fer urpa amb els dits; tensar massa</x:v>
      </x:c>
      <x:c r="S37" s="14" t="str">
        <x:v>Sí</x:v>
      </x:c>
      <x:c r="T37" s="14" t="str">
        <x:v>No</x:v>
      </x:c>
      <x:c r="U37" s="14" t="str"/>
      <x:c r="V37" s="14" t="str"/>
    </x:row>
    <x:row r="38">
      <x:c r="A38" s="14" t="str">
        <x:v>ANK_INTR_002</x:v>
      </x:c>
      <x:c r="B38" s="14" t="str">
        <x:v>Ioga dels dits</x:v>
      </x:c>
      <x:c r="C38" s="14" t="str">
        <x:v>Toe Yoga</x:v>
      </x:c>
      <x:c r="D38" s="14" t="str">
        <x:v>Força intrínseca del peu</x:v>
      </x:c>
      <x:c r="E38" s="14" t="str">
        <x:v>Control dels dits</x:v>
      </x:c>
      <x:c r="F38" s="14" t="str">
        <x:v>Pes corporal</x:v>
      </x:c>
      <x:c r="G38" s="14" t="str">
        <x:v>Màrfega</x:v>
      </x:c>
      <x:c r="H38" s="14" t="str"/>
      <x:c r="I38" s="14" t="str">
        <x:v>Extensor llarg del dit gros; flexors dels dits</x:v>
      </x:c>
      <x:c r="J38" s="14" t="str">
        <x:v>Intrínsecs del peu</x:v>
      </x:c>
      <x:c r="K38" s="14" t="str">
        <x:v>Groc</x:v>
      </x:c>
      <x:c r="L38" s="14" t="n">
        <x:v>2</x:v>
      </x:c>
      <x:c r="M38" s="14" t="str">
        <x:v>Control motor / Coordinació</x:v>
      </x:c>
      <x:c r="N38" s="14" t="str">
        <x:v>Separació passiva dels dits</x:v>
      </x:c>
      <x:c r="O38" s="14" t="str">
        <x:v>Ioga dels dits en bipedestació</x:v>
      </x:c>
      <x:c r="P38" s="14" t="str">
        <x:v>Dolor o rigidesa severa dels dits</x:v>
      </x:c>
      <x:c r="Q38" s="14" t="str">
        <x:v>Alternar elevar el dit gros i els altres dits mantenint el peu relaxat.</x:v>
      </x:c>
      <x:c r="R38" s="14" t="str">
        <x:v>Moure tot el peu; fer tensió excessiva</x:v>
      </x:c>
      <x:c r="S38" s="14" t="str">
        <x:v>Sí</x:v>
      </x:c>
      <x:c r="T38" s="14" t="str">
        <x:v>No</x:v>
      </x:c>
      <x:c r="U38" s="14" t="str"/>
      <x:c r="V38" s="14" t="str"/>
    </x:row>
    <x:row r="39">
      <x:c r="A39" s="14" t="str">
        <x:v>ANK_INTR_003</x:v>
      </x:c>
      <x:c r="B39" s="14" t="str">
        <x:v>Arrugar la tovallola amb els dits</x:v>
      </x:c>
      <x:c r="C39" s="14" t="str">
        <x:v>Towel Curls</x:v>
      </x:c>
      <x:c r="D39" s="14" t="str">
        <x:v>Força intrínseca del peu</x:v>
      </x:c>
      <x:c r="E39" s="14" t="str">
        <x:v>Flexors dels dits</x:v>
      </x:c>
      <x:c r="F39" s="14" t="str">
        <x:v>Tovallola</x:v>
      </x:c>
      <x:c r="G39" s="14" t="str">
        <x:v>Pes corporal</x:v>
      </x:c>
      <x:c r="H39" s="14" t="str"/>
      <x:c r="I39" s="14" t="str">
        <x:v>Flexors dels dits; intrínsecs del peu</x:v>
      </x:c>
      <x:c r="J39" s="14" t="str">
        <x:v>Fàscia plantar</x:v>
      </x:c>
      <x:c r="K39" s="14" t="str">
        <x:v>Groc</x:v>
      </x:c>
      <x:c r="L39" s="14" t="n">
        <x:v>1</x:v>
      </x:c>
      <x:c r="M39" s="14" t="str">
        <x:v>Força / Activació</x:v>
      </x:c>
      <x:c r="N39" s="14" t="str">
        <x:v>Flexió suau dels dits</x:v>
      </x:c>
      <x:c r="O39" s="14" t="str">
        <x:v>Recollida d’objectes amb els dits</x:v>
      </x:c>
      <x:c r="P39" s="14" t="str">
        <x:v>Dolor plantar o rampes freqüents</x:v>
      </x:c>
      <x:c r="Q39" s="14" t="str">
        <x:v>Arrossegar la tovallola amb els dits de manera controlada, sense dolor.</x:v>
      </x:c>
      <x:c r="R39" s="14" t="str">
        <x:v>Fer rampes; compensar amb tot el peu</x:v>
      </x:c>
      <x:c r="S39" s="14" t="str">
        <x:v>Sí</x:v>
      </x:c>
      <x:c r="T39" s="14" t="str">
        <x:v>No</x:v>
      </x:c>
      <x:c r="U39" s="14" t="str"/>
      <x:c r="V39" s="14" t="str"/>
    </x:row>
    <x:row r="40">
      <x:c r="A40" s="14" t="str">
        <x:v>ANK_INTR_004</x:v>
      </x:c>
      <x:c r="B40" s="14" t="str">
        <x:v>Recollida d’objectes amb els dits</x:v>
      </x:c>
      <x:c r="C40" s="14" t="str">
        <x:v>Toe Pick Ups</x:v>
      </x:c>
      <x:c r="D40" s="14" t="str">
        <x:v>Força intrínseca del peu</x:v>
      </x:c>
      <x:c r="E40" s="14" t="str">
        <x:v>Destresa / Dits</x:v>
      </x:c>
      <x:c r="F40" s="14" t="str">
        <x:v>Pes corporal</x:v>
      </x:c>
      <x:c r="G40" s="14" t="str">
        <x:v>Tovallola</x:v>
      </x:c>
      <x:c r="H40" s="14" t="str"/>
      <x:c r="I40" s="14" t="str">
        <x:v>Intrínsecs del peu; flexors dels dits</x:v>
      </x:c>
      <x:c r="J40" s="14" t="str">
        <x:v>Musculatura plantar</x:v>
      </x:c>
      <x:c r="K40" s="14" t="str">
        <x:v>Blau</x:v>
      </x:c>
      <x:c r="L40" s="14" t="n">
        <x:v>2</x:v>
      </x:c>
      <x:c r="M40" s="14" t="str">
        <x:v>Coordinació / Força fina</x:v>
      </x:c>
      <x:c r="N40" s="14" t="str">
        <x:v>Arrugar la tovallola amb els dits</x:v>
      </x:c>
      <x:c r="O40" s="14" t="str">
        <x:v>Recollida d’objectes en monopodal</x:v>
      </x:c>
      <x:c r="P40" s="14" t="str">
        <x:v>Dolor plantar intens</x:v>
      </x:c>
      <x:c r="Q40" s="14" t="str">
        <x:v>Agafar objectes petits amb els dits del peu i deixar-los en un punt concret.</x:v>
      </x:c>
      <x:c r="R40" s="14" t="str">
        <x:v>Compensar amb el maluc; fer-ho massa ràpid</x:v>
      </x:c>
      <x:c r="S40" s="14" t="str">
        <x:v>Sí</x:v>
      </x:c>
      <x:c r="T40" s="14" t="str">
        <x:v>No</x:v>
      </x:c>
      <x:c r="U40" s="14" t="str"/>
      <x:c r="V40" s="14" t="str"/>
    </x:row>
    <x:row r="41">
      <x:c r="A41" s="14" t="str">
        <x:v>ANK_INTR_005</x:v>
      </x:c>
      <x:c r="B41" s="14" t="str">
        <x:v>Peu curt en monopodal</x:v>
      </x:c>
      <x:c r="C41" s="14" t="str">
        <x:v>Single Leg Short Foot</x:v>
      </x:c>
      <x:c r="D41" s="14" t="str">
        <x:v>Força intrínseca del peu</x:v>
      </x:c>
      <x:c r="E41" s="14" t="str">
        <x:v>Arc actiu en càrrega</x:v>
      </x:c>
      <x:c r="F41" s="14" t="str">
        <x:v>Pes corporal</x:v>
      </x:c>
      <x:c r="G41" s="14" t="str">
        <x:v>Màrfega</x:v>
      </x:c>
      <x:c r="H41" s="14" t="str"/>
      <x:c r="I41" s="14" t="str">
        <x:v>Intrínsecs del peu</x:v>
      </x:c>
      <x:c r="J41" s="14" t="str">
        <x:v>Tibial posterior; peroneals; gluti mitjà</x:v>
      </x:c>
      <x:c r="K41" s="14" t="str">
        <x:v>Blau</x:v>
      </x:c>
      <x:c r="L41" s="14" t="n">
        <x:v>3</x:v>
      </x:c>
      <x:c r="M41" s="14" t="str">
        <x:v>Estabilitat / Control motor</x:v>
      </x:c>
      <x:c r="N41" s="14" t="str">
        <x:v>Peu curt</x:v>
      </x:c>
      <x:c r="O41" s="14" t="str">
        <x:v>Peu curt amb abast anterior</x:v>
      </x:c>
      <x:c r="P41" s="14" t="str">
        <x:v>Inestabilitat marcada o dolor plantar</x:v>
      </x:c>
      <x:c r="Q41" s="14" t="str">
        <x:v>Mantenir l’arc actiu mentre es fa suport a una cama sense agafar el terra amb els dits.</x:v>
      </x:c>
      <x:c r="R41" s="14" t="str">
        <x:v>Fer urpa; perdre alineació del genoll</x:v>
      </x:c>
      <x:c r="S41" s="14" t="str">
        <x:v>Sí</x:v>
      </x:c>
      <x:c r="T41" s="14" t="str">
        <x:v>No</x:v>
      </x:c>
      <x:c r="U41" s="14" t="str"/>
      <x:c r="V41" s="14" t="str"/>
    </x:row>
  </x:sheetData>
  <x:dataValidations count="2">
    <x:dataValidation type="list" sqref="K2:K41">
      <x:formula1>Catàlegs!$B$2:$B$4</x:formula1>
    </x:dataValidation>
    <x:dataValidation type="list" sqref="D2:D41">
      <x:formula1>Catàlegs!$A$2:$A$9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1bc928f8ea43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23" t="str">
        <x:v>Resum — Exercicis de turmell i peu</x:v>
      </x:c>
    </x:row>
    <x:row r="3">
      <x:c r="A3" s="28" t="str">
        <x:v>Patró de moviment</x:v>
      </x:c>
      <x:c r="B3" s="28" t="str">
        <x:v>Nº exercicis</x:v>
      </x:c>
      <x:c r="C3" s="28" t="str">
        <x:v>Groc</x:v>
      </x:c>
      <x:c r="D3" s="28" t="str">
        <x:v>Blau</x:v>
      </x:c>
      <x:c r="E3" s="28" t="str">
        <x:v>Vermell</x:v>
      </x:c>
    </x:row>
    <x:row r="4">
      <x:c r="A4" t="str">
        <x:v>Flexió dorsal de turmell</x:v>
      </x:c>
      <x:c r="B4" t="n">
        <x:f>COUNTIF('Turmell i peu'!$D:$D,A4)</x:f>
        <x:v>5</x:v>
      </x:c>
      <x:c r="C4" t="n">
        <x:f>COUNTIFS('Turmell i peu'!$D:$D,A4,'Turmell i peu'!$K:$K,"Groc")</x:f>
        <x:v>3</x:v>
      </x:c>
      <x:c r="D4" t="n">
        <x:f>COUNTIFS('Turmell i peu'!$D:$D,A4,'Turmell i peu'!$K:$K,"Blau")</x:f>
        <x:v>2</x:v>
      </x:c>
      <x:c r="E4" t="n">
        <x:f>COUNTIFS('Turmell i peu'!$D:$D,A4,'Turmell i peu'!$K:$K,"Vermell")</x:f>
        <x:v>0</x:v>
      </x:c>
    </x:row>
    <x:row r="5">
      <x:c r="A5" t="str">
        <x:v>Flexió plantar de turmell</x:v>
      </x:c>
      <x:c r="B5" t="n">
        <x:f>COUNTIF('Turmell i peu'!$D:$D,A5)</x:f>
        <x:v>5</x:v>
      </x:c>
      <x:c r="C5" t="n">
        <x:f>COUNTIFS('Turmell i peu'!$D:$D,A5,'Turmell i peu'!$K:$K,"Groc")</x:f>
        <x:v>3</x:v>
      </x:c>
      <x:c r="D5" t="n">
        <x:f>COUNTIFS('Turmell i peu'!$D:$D,A5,'Turmell i peu'!$K:$K,"Blau")</x:f>
        <x:v>2</x:v>
      </x:c>
      <x:c r="E5" t="n">
        <x:f>COUNTIFS('Turmell i peu'!$D:$D,A5,'Turmell i peu'!$K:$K,"Vermell")</x:f>
        <x:v>0</x:v>
      </x:c>
    </x:row>
    <x:row r="6">
      <x:c r="A6" t="str">
        <x:v>Inversió de turmell</x:v>
      </x:c>
      <x:c r="B6" t="n">
        <x:f>COUNTIF('Turmell i peu'!$D:$D,A6)</x:f>
        <x:v>5</x:v>
      </x:c>
      <x:c r="C6" t="n">
        <x:f>COUNTIFS('Turmell i peu'!$D:$D,A6,'Turmell i peu'!$K:$K,"Groc")</x:f>
        <x:v>2</x:v>
      </x:c>
      <x:c r="D6" t="n">
        <x:f>COUNTIFS('Turmell i peu'!$D:$D,A6,'Turmell i peu'!$K:$K,"Blau")</x:f>
        <x:v>2</x:v>
      </x:c>
      <x:c r="E6" t="n">
        <x:f>COUNTIFS('Turmell i peu'!$D:$D,A6,'Turmell i peu'!$K:$K,"Vermell")</x:f>
        <x:v>1</x:v>
      </x:c>
    </x:row>
    <x:row r="7">
      <x:c r="A7" t="str">
        <x:v>Eversió de turmell</x:v>
      </x:c>
      <x:c r="B7" t="n">
        <x:f>COUNTIF('Turmell i peu'!$D:$D,A7)</x:f>
        <x:v>5</x:v>
      </x:c>
      <x:c r="C7" t="n">
        <x:f>COUNTIFS('Turmell i peu'!$D:$D,A7,'Turmell i peu'!$K:$K,"Groc")</x:f>
        <x:v>2</x:v>
      </x:c>
      <x:c r="D7" t="n">
        <x:f>COUNTIFS('Turmell i peu'!$D:$D,A7,'Turmell i peu'!$K:$K,"Blau")</x:f>
        <x:v>3</x:v>
      </x:c>
      <x:c r="E7" t="n">
        <x:f>COUNTIFS('Turmell i peu'!$D:$D,A7,'Turmell i peu'!$K:$K,"Vermell")</x:f>
        <x:v>0</x:v>
      </x:c>
    </x:row>
    <x:row r="8">
      <x:c r="A8" t="str">
        <x:v>Estabilitat de turmell / peu</x:v>
      </x:c>
      <x:c r="B8" t="n">
        <x:f>COUNTIF('Turmell i peu'!$D:$D,A8)</x:f>
        <x:v>5</x:v>
      </x:c>
      <x:c r="C8" t="n">
        <x:f>COUNTIFS('Turmell i peu'!$D:$D,A8,'Turmell i peu'!$K:$K,"Groc")</x:f>
        <x:v>1</x:v>
      </x:c>
      <x:c r="D8" t="n">
        <x:f>COUNTIFS('Turmell i peu'!$D:$D,A8,'Turmell i peu'!$K:$K,"Blau")</x:f>
        <x:v>2</x:v>
      </x:c>
      <x:c r="E8" t="n">
        <x:f>COUNTIFS('Turmell i peu'!$D:$D,A8,'Turmell i peu'!$K:$K,"Vermell")</x:f>
        <x:v>2</x:v>
      </x:c>
    </x:row>
    <x:row r="9">
      <x:c r="A9" t="str">
        <x:v>Rigidesa elàstica turmell-peu</x:v>
      </x:c>
      <x:c r="B9" t="n">
        <x:f>COUNTIF('Turmell i peu'!$D:$D,A9)</x:f>
        <x:v>5</x:v>
      </x:c>
      <x:c r="C9" t="n">
        <x:f>COUNTIFS('Turmell i peu'!$D:$D,A9,'Turmell i peu'!$K:$K,"Groc")</x:f>
        <x:v>0</x:v>
      </x:c>
      <x:c r="D9" t="n">
        <x:f>COUNTIFS('Turmell i peu'!$D:$D,A9,'Turmell i peu'!$K:$K,"Blau")</x:f>
        <x:v>2</x:v>
      </x:c>
      <x:c r="E9" t="n">
        <x:f>COUNTIFS('Turmell i peu'!$D:$D,A9,'Turmell i peu'!$K:$K,"Vermell")</x:f>
        <x:v>3</x:v>
      </x:c>
    </x:row>
    <x:row r="10">
      <x:c r="A10" t="str">
        <x:v>Mobilitat peu-turmell</x:v>
      </x:c>
      <x:c r="B10" t="n">
        <x:f>COUNTIF('Turmell i peu'!$D:$D,A10)</x:f>
        <x:v>5</x:v>
      </x:c>
      <x:c r="C10" t="n">
        <x:f>COUNTIFS('Turmell i peu'!$D:$D,A10,'Turmell i peu'!$K:$K,"Groc")</x:f>
        <x:v>4</x:v>
      </x:c>
      <x:c r="D10" t="n">
        <x:f>COUNTIFS('Turmell i peu'!$D:$D,A10,'Turmell i peu'!$K:$K,"Blau")</x:f>
        <x:v>1</x:v>
      </x:c>
      <x:c r="E10" t="n">
        <x:f>COUNTIFS('Turmell i peu'!$D:$D,A10,'Turmell i peu'!$K:$K,"Vermell")</x:f>
        <x:v>0</x:v>
      </x:c>
    </x:row>
    <x:row r="11">
      <x:c r="A11" t="str">
        <x:v>Força intrínseca del peu</x:v>
      </x:c>
      <x:c r="B11" t="n">
        <x:f>COUNTIF('Turmell i peu'!$D:$D,A11)</x:f>
        <x:v>5</x:v>
      </x:c>
      <x:c r="C11" t="n">
        <x:f>COUNTIFS('Turmell i peu'!$D:$D,A11,'Turmell i peu'!$K:$K,"Groc")</x:f>
        <x:v>3</x:v>
      </x:c>
      <x:c r="D11" t="n">
        <x:f>COUNTIFS('Turmell i peu'!$D:$D,A11,'Turmell i peu'!$K:$K,"Blau")</x:f>
        <x:v>2</x:v>
      </x:c>
      <x:c r="E11" t="n">
        <x:f>COUNTIFS('Turmell i peu'!$D:$D,A11,'Turmell i peu'!$K:$K,"Vermell")</x:f>
        <x:v>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18" t="str">
        <x:v>Patrons de moviment</x:v>
      </x:c>
      <x:c r="B1" s="18" t="str">
        <x:v>Nivells</x:v>
      </x:c>
      <x:c r="C1" s="18" t="str">
        <x:v>Equipament oficial</x:v>
      </x:c>
    </x:row>
    <x:row r="2">
      <x:c r="A2" t="str">
        <x:v>Flexió dorsal de turmell</x:v>
      </x:c>
      <x:c r="B2" t="str">
        <x:v>Groc</x:v>
      </x:c>
      <x:c r="C2" t="str">
        <x:v>Pes corporal</x:v>
      </x:c>
    </x:row>
    <x:row r="3">
      <x:c r="A3" t="str">
        <x:v>Flexió plantar de turmell</x:v>
      </x:c>
      <x:c r="B3" t="str">
        <x:v>Blau</x:v>
      </x:c>
      <x:c r="C3" t="str">
        <x:v>Màrfega</x:v>
      </x:c>
    </x:row>
    <x:row r="4">
      <x:c r="A4" t="str">
        <x:v>Inversió de turmell</x:v>
      </x:c>
      <x:c r="B4" t="str">
        <x:v>Vermell</x:v>
      </x:c>
      <x:c r="C4" t="str">
        <x:v>Fitball</x:v>
      </x:c>
    </x:row>
    <x:row r="5">
      <x:c r="A5" t="str">
        <x:v>Eversió de turmell</x:v>
      </x:c>
      <x:c r="B5" t="str"/>
      <x:c r="C5" t="str">
        <x:v>Pilota de ioga</x:v>
      </x:c>
    </x:row>
    <x:row r="6">
      <x:c r="A6" t="str">
        <x:v>Estabilitat de turmell / peu</x:v>
      </x:c>
      <x:c r="B6" t="str"/>
      <x:c r="C6" t="str">
        <x:v>Sliders</x:v>
      </x:c>
    </x:row>
    <x:row r="7">
      <x:c r="A7" t="str">
        <x:v>Rigidesa elàstica turmell-peu</x:v>
      </x:c>
      <x:c r="B7" t="str"/>
      <x:c r="C7" t="str">
        <x:v>Tovallola</x:v>
      </x:c>
    </x:row>
    <x:row r="8">
      <x:c r="A8" t="str">
        <x:v>Mobilitat peu-turmell</x:v>
      </x:c>
      <x:c r="B8" t="str"/>
      <x:c r="C8" t="str">
        <x:v>TRX</x:v>
      </x:c>
    </x:row>
    <x:row r="9">
      <x:c r="A9" t="str">
        <x:v>Força intrínseca del peu</x:v>
      </x:c>
      <x:c r="B9" t="str"/>
      <x:c r="C9" t="str">
        <x:v>Bandes elàstiques</x:v>
      </x:c>
    </x:row>
    <x:row r="10">
      <x:c r="A10" t="str"/>
      <x:c r="B10" t="str"/>
      <x:c r="C10" t="str">
        <x:v>Mini-band</x:v>
      </x:c>
    </x:row>
    <x:row r="11">
      <x:c r="A11" t="str"/>
      <x:c r="B11" t="str"/>
      <x:c r="C11" t="str">
        <x:v>Manuelles</x:v>
      </x:c>
    </x:row>
    <x:row r="12">
      <x:c r="A12" t="str"/>
      <x:c r="B12" t="str"/>
      <x:c r="C12" t="str">
        <x:v>Kettlebells</x:v>
      </x:c>
    </x:row>
    <x:row r="13">
      <x:c r="A13" t="str"/>
      <x:c r="B13" t="str"/>
      <x:c r="C13" t="str">
        <x:v>Barra</x:v>
      </x:c>
    </x:row>
    <x:row r="14">
      <x:c r="A14" t="str"/>
      <x:c r="B14" t="str"/>
      <x:c r="C14" t="str">
        <x:v>Discos</x:v>
      </x:c>
    </x:row>
    <x:row r="15">
      <x:c r="A15" t="str"/>
      <x:c r="B15" t="str"/>
      <x:c r="C15" t="str">
        <x:v>Banc</x:v>
      </x:c>
    </x:row>
    <x:row r="16">
      <x:c r="A16" t="str"/>
      <x:c r="B16" t="str"/>
      <x:c r="C16" t="str">
        <x:v>Caixa / calaix</x:v>
      </x:c>
    </x:row>
    <x:row r="17">
      <x:c r="A17" t="str"/>
      <x:c r="B17" t="str"/>
      <x:c r="C17" t="str">
        <x:v>Pica / pal</x:v>
      </x:c>
    </x:row>
    <x:row r="18">
      <x:c r="A18" t="str"/>
      <x:c r="B18" t="str"/>
      <x:c r="C18" t="str">
        <x:v>Politja</x:v>
      </x:c>
    </x:row>
    <x:row r="19">
      <x:c r="A19" t="str"/>
      <x:c r="B19" t="str"/>
      <x:c r="C19" t="str">
        <x:v>Politja cònica inercial</x:v>
      </x:c>
    </x:row>
    <x:row r="20">
      <x:c r="A20" t="str"/>
      <x:c r="B20" t="str"/>
      <x:c r="C20" t="str">
        <x:v>Landmine</x:v>
      </x:c>
    </x:row>
    <x:row r="21">
      <x:c r="A21" t="str"/>
      <x:c r="B21" t="str"/>
      <x:c r="C21" t="str">
        <x:v>Trineu d’arrossegament</x:v>
      </x:c>
    </x:row>
    <x:row r="22">
      <x:c r="A22" t="str"/>
      <x:c r="B22" t="str"/>
      <x:c r="C22" t="str">
        <x:v>Pilota medicinal</x:v>
      </x:c>
    </x:row>
    <x:row r="23">
      <x:c r="A23" t="str"/>
      <x:c r="B23" t="str"/>
      <x:c r="C23" t="str">
        <x:v>Pilota de futbol</x:v>
      </x:c>
    </x:row>
    <x:row r="24">
      <x:c r="A24" t="str"/>
      <x:c r="B24" t="str"/>
      <x:c r="C24" t="str">
        <x:v>SkiErg</x:v>
      </x:c>
    </x:row>
    <x:row r="25">
      <x:c r="A25" t="str"/>
      <x:c r="B25" t="str"/>
      <x:c r="C25" t="str">
        <x:v>Remoergòmetre</x:v>
      </x:c>
    </x:row>
    <x:row r="26">
      <x:c r="A26" t="str"/>
      <x:c r="B26" t="str"/>
      <x:c r="C26" t="str">
        <x:v>AirBike</x:v>
      </x:c>
    </x:row>
    <x:row r="27">
      <x:c r="A27" t="str"/>
      <x:c r="B27" t="str"/>
      <x:c r="C27" t="str">
        <x:v>Bici estàtica</x:v>
      </x:c>
    </x:row>
    <x:row r="28">
      <x:c r="A28" t="str"/>
      <x:c r="B28" t="str"/>
      <x:c r="C28" t="str">
        <x:v>Cinta corba</x:v>
      </x:c>
    </x:row>
    <x:row r="29">
      <x:c r="A29" t="str"/>
      <x:c r="B29" t="str"/>
      <x:c r="C29" t="str">
        <x:v>Rack de peses i dominades</x:v>
      </x:c>
    </x:row>
    <x:row r="30">
      <x:c r="A30" t="str"/>
      <x:c r="B30" t="str"/>
      <x:c r="C30" t="str">
        <x:v>Partner</x:v>
      </x:c>
    </x:row>
    <x:row r="31">
      <x:c r="A31" t="str"/>
      <x:c r="B31" t="str"/>
      <x:c r="C31" t="str">
        <x:v>Màquina externa</x:v>
      </x:c>
    </x:row>
    <x:row r="32">
      <x:c r="A32" t="str"/>
      <x:c r="B32" t="str"/>
      <x:c r="C32" t="str">
        <x:v>Paret</x:v>
      </x:c>
    </x:row>
    <x:row r="33">
      <x:c r="A33" t="str"/>
      <x:c r="B33" t="str"/>
      <x:c r="C33" t="str">
        <x:v>Turmellera</x:v>
      </x:c>
    </x:row>
  </x:sheetData>
  <x:pageMargins left="0.7" right="0.7" top="0.75" bottom="0.75" header="0.3" footer="0.3"/>
</x:worksheet>
</file>